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ales Data" sheetId="1" state="visible" r:id="rId3"/>
    <sheet name="Exam Questions" sheetId="2" state="visible" r:id="rId4"/>
    <sheet name="Q1 - North Region" sheetId="3" state="visible" r:id="rId5"/>
    <sheet name="Q2 - Qty Over 20" sheetId="4" state="visible" r:id="rId6"/>
    <sheet name="Q3 - Sarah Electronics" sheetId="5" state="visible" r:id="rId7"/>
    <sheet name="Q4 - Q1 2024" sheetId="6" state="visible" r:id="rId8"/>
    <sheet name="Q5 - Sort by Date" sheetId="7" state="visible" r:id="rId9"/>
    <sheet name="Q6 - Sort Region and Rep" sheetId="8" state="visible" r:id="rId10"/>
    <sheet name="Q7 - Sort Unit Price Desc" sheetId="9" state="visible" r:id="rId11"/>
    <sheet name="Q8-11 Cond Formatting" sheetId="10" state="visible" r:id="rId12"/>
    <sheet name="Q12-14 IF Formulas" sheetId="11" state="visible" r:id="rId13"/>
    <sheet name="Q15-18 SUMIF" sheetId="12" state="visible" r:id="rId14"/>
    <sheet name="Q19-22 Charts" sheetId="13" state="visible" r:id="rId15"/>
    <sheet name="Q23-25 Bonus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<sst xmlns="http://schemas.openxmlformats.org/spreadsheetml/2006/main" count="11913" uniqueCount="275">
  <si>
    <t xml:space="preserve">Order ID</t>
  </si>
  <si>
    <t xml:space="preserve">Date</t>
  </si>
  <si>
    <t xml:space="preserve">Sales Rep</t>
  </si>
  <si>
    <t xml:space="preserve">Region</t>
  </si>
  <si>
    <t xml:space="preserve">Product Category</t>
  </si>
  <si>
    <t xml:space="preserve">Product</t>
  </si>
  <si>
    <t xml:space="preserve">Quantity</t>
  </si>
  <si>
    <t xml:space="preserve">Unit Price</t>
  </si>
  <si>
    <t xml:space="preserve">Discount %</t>
  </si>
  <si>
    <t xml:space="preserve">Customer Type</t>
  </si>
  <si>
    <t xml:space="preserve">ORD1000</t>
  </si>
  <si>
    <t xml:space="preserve">Mike Chen</t>
  </si>
  <si>
    <t xml:space="preserve">South</t>
  </si>
  <si>
    <t xml:space="preserve">Office Supplies</t>
  </si>
  <si>
    <t xml:space="preserve">Pens</t>
  </si>
  <si>
    <t xml:space="preserve">Regular</t>
  </si>
  <si>
    <t xml:space="preserve">ORD1001</t>
  </si>
  <si>
    <t xml:space="preserve">Emily Davis</t>
  </si>
  <si>
    <t xml:space="preserve">Notebooks</t>
  </si>
  <si>
    <t xml:space="preserve">VIP</t>
  </si>
  <si>
    <t xml:space="preserve">ORD1002</t>
  </si>
  <si>
    <t xml:space="preserve">Sarah Johnson</t>
  </si>
  <si>
    <t xml:space="preserve">East</t>
  </si>
  <si>
    <t xml:space="preserve">Electronics</t>
  </si>
  <si>
    <t xml:space="preserve">Mouse</t>
  </si>
  <si>
    <t xml:space="preserve">ORD1003</t>
  </si>
  <si>
    <t xml:space="preserve">Lisa Wilson</t>
  </si>
  <si>
    <t xml:space="preserve">North</t>
  </si>
  <si>
    <t xml:space="preserve">ORD1004</t>
  </si>
  <si>
    <t xml:space="preserve">West</t>
  </si>
  <si>
    <t xml:space="preserve">ORD1005</t>
  </si>
  <si>
    <t xml:space="preserve">Robert Brown</t>
  </si>
  <si>
    <t xml:space="preserve">Clothing</t>
  </si>
  <si>
    <t xml:space="preserve">Jacket</t>
  </si>
  <si>
    <t xml:space="preserve">ORD1006</t>
  </si>
  <si>
    <t xml:space="preserve">ORD1007</t>
  </si>
  <si>
    <t xml:space="preserve">ORD1008</t>
  </si>
  <si>
    <t xml:space="preserve">Laptop</t>
  </si>
  <si>
    <t xml:space="preserve">ORD1009</t>
  </si>
  <si>
    <t xml:space="preserve">T-Shirt</t>
  </si>
  <si>
    <t xml:space="preserve">New</t>
  </si>
  <si>
    <t xml:space="preserve">ORD1010</t>
  </si>
  <si>
    <t xml:space="preserve">ORD1011</t>
  </si>
  <si>
    <t xml:space="preserve">John Smith</t>
  </si>
  <si>
    <t xml:space="preserve">Furniture</t>
  </si>
  <si>
    <t xml:space="preserve">Chair</t>
  </si>
  <si>
    <t xml:space="preserve">ORD1012</t>
  </si>
  <si>
    <t xml:space="preserve">Table</t>
  </si>
  <si>
    <t xml:space="preserve">ORD1013</t>
  </si>
  <si>
    <t xml:space="preserve">ORD1014</t>
  </si>
  <si>
    <t xml:space="preserve">Desk</t>
  </si>
  <si>
    <t xml:space="preserve">ORD1015</t>
  </si>
  <si>
    <t xml:space="preserve">ORD1016</t>
  </si>
  <si>
    <t xml:space="preserve">Headphones</t>
  </si>
  <si>
    <t xml:space="preserve">ORD1017</t>
  </si>
  <si>
    <t xml:space="preserve">ORD1018</t>
  </si>
  <si>
    <t xml:space="preserve">ORD1019</t>
  </si>
  <si>
    <t xml:space="preserve">ORD1020</t>
  </si>
  <si>
    <t xml:space="preserve">Bookshelf</t>
  </si>
  <si>
    <t xml:space="preserve">ORD1021</t>
  </si>
  <si>
    <t xml:space="preserve">ORD1022</t>
  </si>
  <si>
    <t xml:space="preserve">ORD1023</t>
  </si>
  <si>
    <t xml:space="preserve">Jeans</t>
  </si>
  <si>
    <t xml:space="preserve">ORD1024</t>
  </si>
  <si>
    <t xml:space="preserve">Printer Paper</t>
  </si>
  <si>
    <t xml:space="preserve">ORD1025</t>
  </si>
  <si>
    <t xml:space="preserve">ORD1026</t>
  </si>
  <si>
    <t xml:space="preserve">ORD1027</t>
  </si>
  <si>
    <t xml:space="preserve">ORD1028</t>
  </si>
  <si>
    <t xml:space="preserve">Shoes</t>
  </si>
  <si>
    <t xml:space="preserve">ORD1029</t>
  </si>
  <si>
    <t xml:space="preserve">ORD1030</t>
  </si>
  <si>
    <t xml:space="preserve">ORD1031</t>
  </si>
  <si>
    <t xml:space="preserve">Stapler</t>
  </si>
  <si>
    <t xml:space="preserve">ORD1032</t>
  </si>
  <si>
    <t xml:space="preserve">ORD1033</t>
  </si>
  <si>
    <t xml:space="preserve">Cabinet</t>
  </si>
  <si>
    <t xml:space="preserve">ORD1034</t>
  </si>
  <si>
    <t xml:space="preserve">ORD1035</t>
  </si>
  <si>
    <t xml:space="preserve">Keyboard</t>
  </si>
  <si>
    <t xml:space="preserve">ORD1036</t>
  </si>
  <si>
    <t xml:space="preserve">ORD1037</t>
  </si>
  <si>
    <t xml:space="preserve">Monitor</t>
  </si>
  <si>
    <t xml:space="preserve">ORD1038</t>
  </si>
  <si>
    <t xml:space="preserve">ORD1039</t>
  </si>
  <si>
    <t xml:space="preserve">ORD1040</t>
  </si>
  <si>
    <t xml:space="preserve">ORD1041</t>
  </si>
  <si>
    <t xml:space="preserve">ORD1042</t>
  </si>
  <si>
    <t xml:space="preserve">ORD1043</t>
  </si>
  <si>
    <t xml:space="preserve">ORD1044</t>
  </si>
  <si>
    <t xml:space="preserve">ORD1045</t>
  </si>
  <si>
    <t xml:space="preserve">ORD1046</t>
  </si>
  <si>
    <t xml:space="preserve">Folders</t>
  </si>
  <si>
    <t xml:space="preserve">ORD1047</t>
  </si>
  <si>
    <t xml:space="preserve">ORD1048</t>
  </si>
  <si>
    <t xml:space="preserve">Hat</t>
  </si>
  <si>
    <t xml:space="preserve">ORD1049</t>
  </si>
  <si>
    <t xml:space="preserve">ORD1050</t>
  </si>
  <si>
    <t xml:space="preserve">ORD1051</t>
  </si>
  <si>
    <t xml:space="preserve">ORD1052</t>
  </si>
  <si>
    <t xml:space="preserve">ORD1053</t>
  </si>
  <si>
    <t xml:space="preserve">ORD1054</t>
  </si>
  <si>
    <t xml:space="preserve">ORD1055</t>
  </si>
  <si>
    <t xml:space="preserve">ORD1056</t>
  </si>
  <si>
    <t xml:space="preserve">ORD1057</t>
  </si>
  <si>
    <t xml:space="preserve">ORD1058</t>
  </si>
  <si>
    <t xml:space="preserve">ORD1059</t>
  </si>
  <si>
    <t xml:space="preserve">ORD1060</t>
  </si>
  <si>
    <t xml:space="preserve">ORD1061</t>
  </si>
  <si>
    <t xml:space="preserve">ORD1062</t>
  </si>
  <si>
    <t xml:space="preserve">ORD1063</t>
  </si>
  <si>
    <t xml:space="preserve">ORD1064</t>
  </si>
  <si>
    <t xml:space="preserve">ORD1065</t>
  </si>
  <si>
    <t xml:space="preserve">ORD1066</t>
  </si>
  <si>
    <t xml:space="preserve">ORD1067</t>
  </si>
  <si>
    <t xml:space="preserve">ORD1068</t>
  </si>
  <si>
    <t xml:space="preserve">ORD1069</t>
  </si>
  <si>
    <t xml:space="preserve">ORD1070</t>
  </si>
  <si>
    <t xml:space="preserve">ORD1071</t>
  </si>
  <si>
    <t xml:space="preserve">ORD1072</t>
  </si>
  <si>
    <t xml:space="preserve">ORD1073</t>
  </si>
  <si>
    <t xml:space="preserve">ORD1074</t>
  </si>
  <si>
    <t xml:space="preserve">ORD1075</t>
  </si>
  <si>
    <t xml:space="preserve">ORD1076</t>
  </si>
  <si>
    <t xml:space="preserve">ORD1077</t>
  </si>
  <si>
    <t xml:space="preserve">ORD1078</t>
  </si>
  <si>
    <t xml:space="preserve">ORD1079</t>
  </si>
  <si>
    <t xml:space="preserve">ORD1080</t>
  </si>
  <si>
    <t xml:space="preserve">ORD1081</t>
  </si>
  <si>
    <t xml:space="preserve">ORD1082</t>
  </si>
  <si>
    <t xml:space="preserve">ORD1083</t>
  </si>
  <si>
    <t xml:space="preserve">ORD1084</t>
  </si>
  <si>
    <t xml:space="preserve">ORD1085</t>
  </si>
  <si>
    <t xml:space="preserve">ORD1086</t>
  </si>
  <si>
    <t xml:space="preserve">ORD1087</t>
  </si>
  <si>
    <t xml:space="preserve">ORD1088</t>
  </si>
  <si>
    <t xml:space="preserve">ORD1089</t>
  </si>
  <si>
    <t xml:space="preserve">ORD1090</t>
  </si>
  <si>
    <t xml:space="preserve">ORD1091</t>
  </si>
  <si>
    <t xml:space="preserve">ORD1092</t>
  </si>
  <si>
    <t xml:space="preserve">ORD1093</t>
  </si>
  <si>
    <t xml:space="preserve">ORD1094</t>
  </si>
  <si>
    <t xml:space="preserve">ORD1095</t>
  </si>
  <si>
    <t xml:space="preserve">ORD1096</t>
  </si>
  <si>
    <t xml:space="preserve">ORD1097</t>
  </si>
  <si>
    <t xml:space="preserve">ORD1098</t>
  </si>
  <si>
    <t xml:space="preserve">ORD1099</t>
  </si>
  <si>
    <t xml:space="preserve">ORD1100</t>
  </si>
  <si>
    <t xml:space="preserve">ORD1101</t>
  </si>
  <si>
    <t xml:space="preserve">ORD1102</t>
  </si>
  <si>
    <t xml:space="preserve">ORD1103</t>
  </si>
  <si>
    <t xml:space="preserve">ORD1104</t>
  </si>
  <si>
    <t xml:space="preserve">ORD1105</t>
  </si>
  <si>
    <t xml:space="preserve">ORD1106</t>
  </si>
  <si>
    <t xml:space="preserve">ORD1107</t>
  </si>
  <si>
    <t xml:space="preserve">ORD1108</t>
  </si>
  <si>
    <t xml:space="preserve">ORD1109</t>
  </si>
  <si>
    <t xml:space="preserve">ORD1110</t>
  </si>
  <si>
    <t xml:space="preserve">ORD1111</t>
  </si>
  <si>
    <t xml:space="preserve">ORD1112</t>
  </si>
  <si>
    <t xml:space="preserve">ORD1113</t>
  </si>
  <si>
    <t xml:space="preserve">ORD1114</t>
  </si>
  <si>
    <t xml:space="preserve">ORD1115</t>
  </si>
  <si>
    <t xml:space="preserve">ORD1116</t>
  </si>
  <si>
    <t xml:space="preserve">ORD1117</t>
  </si>
  <si>
    <t xml:space="preserve">ORD1118</t>
  </si>
  <si>
    <t xml:space="preserve">ORD1119</t>
  </si>
  <si>
    <t xml:space="preserve">ORD1120</t>
  </si>
  <si>
    <t xml:space="preserve">ORD1121</t>
  </si>
  <si>
    <t xml:space="preserve">ORD1122</t>
  </si>
  <si>
    <t xml:space="preserve">ORD1123</t>
  </si>
  <si>
    <t xml:space="preserve">ORD1124</t>
  </si>
  <si>
    <t xml:space="preserve">ORD1125</t>
  </si>
  <si>
    <t xml:space="preserve">ORD1126</t>
  </si>
  <si>
    <t xml:space="preserve">ORD1127</t>
  </si>
  <si>
    <t xml:space="preserve">ORD1128</t>
  </si>
  <si>
    <t xml:space="preserve">ORD1129</t>
  </si>
  <si>
    <t xml:space="preserve">ORD1130</t>
  </si>
  <si>
    <t xml:space="preserve">ORD1131</t>
  </si>
  <si>
    <t xml:space="preserve">ORD1132</t>
  </si>
  <si>
    <t xml:space="preserve">ORD1133</t>
  </si>
  <si>
    <t xml:space="preserve">ORD1134</t>
  </si>
  <si>
    <t xml:space="preserve">ORD1135</t>
  </si>
  <si>
    <t xml:space="preserve">ORD1136</t>
  </si>
  <si>
    <t xml:space="preserve">ORD1137</t>
  </si>
  <si>
    <t xml:space="preserve">ORD1138</t>
  </si>
  <si>
    <t xml:space="preserve">ORD1139</t>
  </si>
  <si>
    <t xml:space="preserve">ORD1140</t>
  </si>
  <si>
    <t xml:space="preserve">ORD1141</t>
  </si>
  <si>
    <t xml:space="preserve">ORD1142</t>
  </si>
  <si>
    <t xml:space="preserve">ORD1143</t>
  </si>
  <si>
    <t xml:space="preserve">ORD1144</t>
  </si>
  <si>
    <t xml:space="preserve">ORD1145</t>
  </si>
  <si>
    <t xml:space="preserve">ORD1146</t>
  </si>
  <si>
    <t xml:space="preserve">ORD1147</t>
  </si>
  <si>
    <t xml:space="preserve">ORD1148</t>
  </si>
  <si>
    <t xml:space="preserve">ORD1149</t>
  </si>
  <si>
    <t xml:space="preserve">Excel Skills Exam Questions</t>
  </si>
  <si>
    <t xml:space="preserve">FILTERING</t>
  </si>
  <si>
    <t xml:space="preserve">1</t>
  </si>
  <si>
    <t xml:space="preserve">Filter the data to show only sales from the 'North' region</t>
  </si>
  <si>
    <t xml:space="preserve">2</t>
  </si>
  <si>
    <t xml:space="preserve">Display only orders where the Quantity is greater than 20</t>
  </si>
  <si>
    <t xml:space="preserve">3</t>
  </si>
  <si>
    <t xml:space="preserve">Show sales made by 'Sarah Johnson' in the 'Electronics' category</t>
  </si>
  <si>
    <t xml:space="preserve">4</t>
  </si>
  <si>
    <t xml:space="preserve">Filter to show orders from Q1 2024 (January-March)</t>
  </si>
  <si>
    <t xml:space="preserve">SORTING</t>
  </si>
  <si>
    <t xml:space="preserve">5</t>
  </si>
  <si>
    <t xml:space="preserve">Sort the entire dataset by Date in ascending order (oldest to newest)</t>
  </si>
  <si>
    <t xml:space="preserve">6</t>
  </si>
  <si>
    <t xml:space="preserve">Sort by Region (A-Z), then by Sales Rep (A-Z)</t>
  </si>
  <si>
    <t xml:space="preserve">7</t>
  </si>
  <si>
    <t xml:space="preserve">Sort by Unit Price in descending order (highest to lowest)</t>
  </si>
  <si>
    <t xml:space="preserve">CONDITIONAL FORMATTING</t>
  </si>
  <si>
    <t xml:space="preserve">8</t>
  </si>
  <si>
    <t xml:space="preserve">Highlight all rows where Discount % is 20% or higher in yellow</t>
  </si>
  <si>
    <t xml:space="preserve">9</t>
  </si>
  <si>
    <t xml:space="preserve">Use color scales on the Quantity column (green for high, red for low)</t>
  </si>
  <si>
    <t xml:space="preserve">10</t>
  </si>
  <si>
    <t xml:space="preserve">Highlight all 'VIP' customers in light blue</t>
  </si>
  <si>
    <t xml:space="preserve">11</t>
  </si>
  <si>
    <t xml:space="preserve">Create data bars for the Unit Price column</t>
  </si>
  <si>
    <t xml:space="preserve">IF FORMULA</t>
  </si>
  <si>
    <t xml:space="preserve">12</t>
  </si>
  <si>
    <t xml:space="preserve">In column K, create a formula that displays 'High Value' if Unit Price is greater than $500, otherwise 'Standard'</t>
  </si>
  <si>
    <t xml:space="preserve">13</t>
  </si>
  <si>
    <t xml:space="preserve">In column L, create a formula that shows 'Discounted' if Discount % is greater than 0, otherwise 'Full Price'</t>
  </si>
  <si>
    <t xml:space="preserve">14</t>
  </si>
  <si>
    <t xml:space="preserve">In column M, create a formula that categorizes Quantity as: 'Bulk' if &gt;= 30, 'Medium' if &gt;= 10, otherwise 'Small'</t>
  </si>
  <si>
    <t xml:space="preserve">SUMIF FORMULA</t>
  </si>
  <si>
    <t xml:space="preserve">15</t>
  </si>
  <si>
    <t xml:space="preserve">Calculate the total quantity sold for the 'Electronics' category</t>
  </si>
  <si>
    <t xml:space="preserve">16</t>
  </si>
  <si>
    <t xml:space="preserve">Find the total quantity of orders handled by 'John Smith'</t>
  </si>
  <si>
    <t xml:space="preserve">17</t>
  </si>
  <si>
    <t xml:space="preserve">Calculate the sum of quantities for all 'VIP' customers</t>
  </si>
  <si>
    <t xml:space="preserve">18</t>
  </si>
  <si>
    <t xml:space="preserve">Find the total quantity sold in the 'West' region</t>
  </si>
  <si>
    <t xml:space="preserve">CHARTS</t>
  </si>
  <si>
    <t xml:space="preserve">19</t>
  </si>
  <si>
    <t xml:space="preserve">Create a Column Chart showing total sales by Region (you'll need to calculate total sales first)</t>
  </si>
  <si>
    <t xml:space="preserve">20</t>
  </si>
  <si>
    <t xml:space="preserve">Create a Pie Chart showing the distribution of Customer Types</t>
  </si>
  <si>
    <t xml:space="preserve">21</t>
  </si>
  <si>
    <t xml:space="preserve">Create a Line Chart showing sales trends over time by month</t>
  </si>
  <si>
    <t xml:space="preserve">22</t>
  </si>
  <si>
    <t xml:space="preserve">Create a Bar Chart comparing total quantities sold by Product Category</t>
  </si>
  <si>
    <t xml:space="preserve">BONUS CHALLENGES</t>
  </si>
  <si>
    <t xml:space="preserve">23</t>
  </si>
  <si>
    <t xml:space="preserve">Add a column that calculates Total Sales (Quantity × Unit Price × (1 - Discount%/100))</t>
  </si>
  <si>
    <t xml:space="preserve">24</t>
  </si>
  <si>
    <t xml:space="preserve">Use SUMIFS to find total sales for 'Electronics' in the 'North' region</t>
  </si>
  <si>
    <t xml:space="preserve">25</t>
  </si>
  <si>
    <t xml:space="preserve">Create a Pivot Table summarizing sales by Sales Rep and Region</t>
  </si>
  <si>
    <t xml:space="preserve">Q1: Filter → Region = 'North'</t>
  </si>
  <si>
    <t xml:space="preserve">Q2: Filter → Quantity &gt; 20</t>
  </si>
  <si>
    <t xml:space="preserve">Q3: Filter → Sales Rep = 'Sarah Johnson' AND Category = 'Electronics'</t>
  </si>
  <si>
    <t xml:space="preserve">Q4: Filter → Date is January to March 2024 (Q1 only)</t>
  </si>
  <si>
    <t xml:space="preserve">Q5: Sort → Date Ascending (oldest to newest)</t>
  </si>
  <si>
    <t xml:space="preserve">Q6: Sort → Region A to Z, then Sales Rep A to Z</t>
  </si>
  <si>
    <t xml:space="preserve">Q7: Sort → Unit Price Descending (highest to lowest)</t>
  </si>
  <si>
    <t xml:space="preserve">Q8-11: Apply ALL 4 conditional formatting rules here — they can all coexist on one sheet</t>
  </si>
  <si>
    <t xml:space="preserve">Q12-14: Add IF formulas — Col K (Q12), Col L (Q13), Col M (Q14) — each uses a different column</t>
  </si>
  <si>
    <t xml:space="preserve">Q15-18: Write your SUMIF formulas in the answer area below row 153</t>
  </si>
  <si>
    <t xml:space="preserve">--- SUMIF ANSWERS BELOW ---</t>
  </si>
  <si>
    <t xml:space="preserve">Q15 - Total Qty (Electronics):</t>
  </si>
  <si>
    <t xml:space="preserve">Q16 - Total Qty (John Smith):</t>
  </si>
  <si>
    <t xml:space="preserve">Q17 - Total Qty (VIP):</t>
  </si>
  <si>
    <t xml:space="preserve">Q18 - Total Qty (West Region):</t>
  </si>
  <si>
    <t xml:space="preserve">Q19-22: Build all 4 charts here. Use the helper table in cols L-M to calculate Region totals for Q19</t>
  </si>
  <si>
    <t xml:space="preserve">Helper Table (Q19 - Sales by Region)</t>
  </si>
  <si>
    <t xml:space="preserve">Total Sales (Qty x Unit Price)</t>
  </si>
  <si>
    <t xml:space="preserve">Q23-25: Do IN ORDER — Q23 adds Total Sales col (K), Q24 SUMIFS uses col K, Q25 Pivot Table</t>
  </si>
  <si>
    <t xml:space="preserve">Q24 SUMIFS answer cell (Electronics + North) — requires Q23 col K to exist first: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</si>
</sst>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yy"/>
    <numFmt numFmtId="166" formatCode="\$#,##0.00"/>
    <numFmt numFmtId="167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1"/>
      <color rgb="FF00B0F0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FF9900"/>
      <name val="Cambria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2E75B6"/>
      </patternFill>
    </fill>
    <fill>
      <patternFill patternType="solid">
        <fgColor rgb="FF2E75B6"/>
        <bgColor rgb="FF4472C4"/>
      </patternFill>
    </fill>
    <fill>
      <patternFill patternType="solid">
        <fgColor rgb="FF1F5C99"/>
        <bgColor rgb="FF184A7A"/>
      </patternFill>
    </fill>
    <fill>
      <patternFill patternType="solid">
        <fgColor rgb="FF184A7A"/>
        <bgColor rgb="FF1F5C99"/>
      </patternFill>
    </fill>
    <fill>
      <patternFill patternType="solid">
        <fgColor rgb="FF112F52"/>
        <bgColor rgb="FF184A7A"/>
      </patternFill>
    </fill>
    <fill>
      <patternFill patternType="solid">
        <fgColor rgb="FF70AD47"/>
        <bgColor rgb="FF99CC00"/>
      </patternFill>
    </fill>
    <fill>
      <patternFill patternType="solid">
        <fgColor rgb="FF4E7B34"/>
        <bgColor rgb="FF808000"/>
      </patternFill>
    </fill>
    <fill>
      <patternFill patternType="solid">
        <fgColor rgb="FF355421"/>
        <bgColor rgb="FF333300"/>
      </patternFill>
    </fill>
    <fill>
      <patternFill patternType="solid">
        <fgColor rgb="FFED7D31"/>
        <bgColor rgb="FFFF8080"/>
      </patternFill>
    </fill>
    <fill>
      <patternFill patternType="solid">
        <fgColor rgb="FF9E3FC2"/>
        <bgColor rgb="FF993366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00B0F0"/>
        <bgColor rgb="FF33CCCC"/>
      </patternFill>
    </fill>
    <fill>
      <patternFill patternType="solid">
        <fgColor rgb="FFFF9900"/>
        <bgColor rgb="FFED7D31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75B6"/>
      <rgbColor rgb="FFC0C0C0"/>
      <rgbColor rgb="FF808080"/>
      <rgbColor rgb="FF9999FF"/>
      <rgbColor rgb="FF9E3FC2"/>
      <rgbColor rgb="FFFFF2CC"/>
      <rgbColor rgb="FFCCFFFF"/>
      <rgbColor rgb="FF660066"/>
      <rgbColor rgb="FFFF8080"/>
      <rgbColor rgb="FF1F5C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112F52"/>
      <rgbColor rgb="FF4E7B34"/>
      <rgbColor rgb="FF003300"/>
      <rgbColor rgb="FF333300"/>
      <rgbColor rgb="FF993300"/>
      <rgbColor rgb="FF993366"/>
      <rgbColor rgb="FF184A7A"/>
      <rgbColor rgb="FF35542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4.25" hidden="false" customHeight="false" outlineLevel="0" collapsed="false">
      <c r="A2" s="0" t="s">
        <v>10</v>
      </c>
      <c r="B2" s="2" t="n">
        <v>45460</v>
      </c>
      <c r="C2" s="3" t="s">
        <v>11</v>
      </c>
      <c r="D2" s="3" t="s">
        <v>12</v>
      </c>
      <c r="E2" s="3" t="s">
        <v>13</v>
      </c>
      <c r="F2" s="3" t="s">
        <v>14</v>
      </c>
      <c r="G2" s="0" t="n">
        <v>23</v>
      </c>
      <c r="H2" s="4" t="n">
        <v>99.71</v>
      </c>
      <c r="I2" s="0" t="n">
        <v>20</v>
      </c>
      <c r="J2" s="3" t="s">
        <v>15</v>
      </c>
    </row>
    <row r="3" customFormat="false" ht="14.25" hidden="false" customHeight="false" outlineLevel="0" collapsed="false">
      <c r="A3" s="0" t="s">
        <v>16</v>
      </c>
      <c r="B3" s="2" t="n">
        <v>45451</v>
      </c>
      <c r="C3" s="3" t="s">
        <v>17</v>
      </c>
      <c r="D3" s="3" t="s">
        <v>12</v>
      </c>
      <c r="E3" s="3" t="s">
        <v>13</v>
      </c>
      <c r="F3" s="3" t="s">
        <v>18</v>
      </c>
      <c r="G3" s="0" t="n">
        <v>15</v>
      </c>
      <c r="H3" s="4" t="n">
        <v>34.95</v>
      </c>
      <c r="I3" s="0" t="n">
        <v>15</v>
      </c>
      <c r="J3" s="3" t="s">
        <v>19</v>
      </c>
    </row>
    <row r="4" customFormat="false" ht="14.25" hidden="false" customHeight="false" outlineLevel="0" collapsed="false">
      <c r="A4" s="0" t="s">
        <v>20</v>
      </c>
      <c r="B4" s="2" t="n">
        <v>45640</v>
      </c>
      <c r="C4" s="3" t="s">
        <v>21</v>
      </c>
      <c r="D4" s="3" t="s">
        <v>22</v>
      </c>
      <c r="E4" s="3" t="s">
        <v>23</v>
      </c>
      <c r="F4" s="3" t="s">
        <v>24</v>
      </c>
      <c r="G4" s="0" t="n">
        <v>34</v>
      </c>
      <c r="H4" s="4" t="n">
        <v>349.44</v>
      </c>
      <c r="I4" s="0" t="n">
        <v>0</v>
      </c>
      <c r="J4" s="3" t="s">
        <v>15</v>
      </c>
    </row>
    <row r="5" customFormat="false" ht="14.25" hidden="false" customHeight="false" outlineLevel="0" collapsed="false">
      <c r="A5" s="0" t="s">
        <v>25</v>
      </c>
      <c r="B5" s="2" t="n">
        <v>45447</v>
      </c>
      <c r="C5" s="3" t="s">
        <v>26</v>
      </c>
      <c r="D5" s="3" t="s">
        <v>27</v>
      </c>
      <c r="E5" s="3" t="s">
        <v>23</v>
      </c>
      <c r="F5" s="3" t="s">
        <v>24</v>
      </c>
      <c r="G5" s="0" t="n">
        <v>16</v>
      </c>
      <c r="H5" s="4" t="n">
        <v>1029.36</v>
      </c>
      <c r="I5" s="0" t="n">
        <v>10</v>
      </c>
      <c r="J5" s="3" t="s">
        <v>19</v>
      </c>
    </row>
    <row r="6" customFormat="false" ht="14.25" hidden="false" customHeight="false" outlineLevel="0" collapsed="false">
      <c r="A6" s="0" t="s">
        <v>28</v>
      </c>
      <c r="B6" s="2" t="n">
        <v>45587</v>
      </c>
      <c r="C6" s="3" t="s">
        <v>21</v>
      </c>
      <c r="D6" s="3" t="s">
        <v>29</v>
      </c>
      <c r="E6" s="3" t="s">
        <v>23</v>
      </c>
      <c r="F6" s="3" t="s">
        <v>24</v>
      </c>
      <c r="G6" s="0" t="n">
        <v>19</v>
      </c>
      <c r="H6" s="4" t="n">
        <v>947.6</v>
      </c>
      <c r="I6" s="0" t="n">
        <v>5</v>
      </c>
      <c r="J6" s="3" t="s">
        <v>19</v>
      </c>
    </row>
    <row r="7" customFormat="false" ht="14.25" hidden="false" customHeight="false" outlineLevel="0" collapsed="false">
      <c r="A7" s="0" t="s">
        <v>30</v>
      </c>
      <c r="B7" s="2" t="n">
        <v>45430</v>
      </c>
      <c r="C7" s="3" t="s">
        <v>31</v>
      </c>
      <c r="D7" s="3" t="s">
        <v>29</v>
      </c>
      <c r="E7" s="3" t="s">
        <v>32</v>
      </c>
      <c r="F7" s="3" t="s">
        <v>33</v>
      </c>
      <c r="G7" s="0" t="n">
        <v>4</v>
      </c>
      <c r="H7" s="4" t="n">
        <v>57.09</v>
      </c>
      <c r="I7" s="0" t="n">
        <v>0</v>
      </c>
      <c r="J7" s="3" t="s">
        <v>19</v>
      </c>
    </row>
    <row r="8" customFormat="false" ht="14.25" hidden="false" customHeight="false" outlineLevel="0" collapsed="false">
      <c r="A8" s="0" t="s">
        <v>34</v>
      </c>
      <c r="B8" s="2" t="n">
        <v>45561</v>
      </c>
      <c r="C8" s="3" t="s">
        <v>26</v>
      </c>
      <c r="D8" s="3" t="s">
        <v>22</v>
      </c>
      <c r="E8" s="3" t="s">
        <v>13</v>
      </c>
      <c r="F8" s="3" t="s">
        <v>18</v>
      </c>
      <c r="G8" s="0" t="n">
        <v>20</v>
      </c>
      <c r="H8" s="4" t="n">
        <v>61.81</v>
      </c>
      <c r="I8" s="0" t="n">
        <v>15</v>
      </c>
      <c r="J8" s="3" t="s">
        <v>15</v>
      </c>
    </row>
    <row r="9" customFormat="false" ht="14.25" hidden="false" customHeight="false" outlineLevel="0" collapsed="false">
      <c r="A9" s="0" t="s">
        <v>35</v>
      </c>
      <c r="B9" s="2" t="n">
        <v>45330</v>
      </c>
      <c r="C9" s="3" t="s">
        <v>11</v>
      </c>
      <c r="D9" s="3" t="s">
        <v>29</v>
      </c>
      <c r="E9" s="3" t="s">
        <v>23</v>
      </c>
      <c r="F9" s="3" t="s">
        <v>24</v>
      </c>
      <c r="G9" s="0" t="n">
        <v>9</v>
      </c>
      <c r="H9" s="4" t="n">
        <v>390.61</v>
      </c>
      <c r="I9" s="0" t="n">
        <v>5</v>
      </c>
      <c r="J9" s="3" t="s">
        <v>19</v>
      </c>
    </row>
    <row r="10" customFormat="false" ht="14.25" hidden="false" customHeight="false" outlineLevel="0" collapsed="false">
      <c r="A10" s="0" t="s">
        <v>36</v>
      </c>
      <c r="B10" s="2" t="n">
        <v>45373</v>
      </c>
      <c r="C10" s="3" t="s">
        <v>21</v>
      </c>
      <c r="D10" s="3" t="s">
        <v>27</v>
      </c>
      <c r="E10" s="3" t="s">
        <v>23</v>
      </c>
      <c r="F10" s="3" t="s">
        <v>37</v>
      </c>
      <c r="G10" s="0" t="n">
        <v>2</v>
      </c>
      <c r="H10" s="4" t="n">
        <v>1031.22</v>
      </c>
      <c r="I10" s="0" t="n">
        <v>15</v>
      </c>
      <c r="J10" s="3" t="s">
        <v>19</v>
      </c>
    </row>
    <row r="11" customFormat="false" ht="14.25" hidden="false" customHeight="false" outlineLevel="0" collapsed="false">
      <c r="A11" s="0" t="s">
        <v>38</v>
      </c>
      <c r="B11" s="2" t="n">
        <v>45349</v>
      </c>
      <c r="C11" s="3" t="s">
        <v>31</v>
      </c>
      <c r="D11" s="3" t="s">
        <v>29</v>
      </c>
      <c r="E11" s="3" t="s">
        <v>32</v>
      </c>
      <c r="F11" s="3" t="s">
        <v>39</v>
      </c>
      <c r="G11" s="0" t="n">
        <v>21</v>
      </c>
      <c r="H11" s="4" t="n">
        <v>84.04</v>
      </c>
      <c r="I11" s="0" t="n">
        <v>10</v>
      </c>
      <c r="J11" s="3" t="s">
        <v>40</v>
      </c>
    </row>
    <row r="12" customFormat="false" ht="14.25" hidden="false" customHeight="false" outlineLevel="0" collapsed="false">
      <c r="A12" s="0" t="s">
        <v>41</v>
      </c>
      <c r="B12" s="2" t="n">
        <v>45371</v>
      </c>
      <c r="C12" s="3" t="s">
        <v>26</v>
      </c>
      <c r="D12" s="3" t="s">
        <v>29</v>
      </c>
      <c r="E12" s="3" t="s">
        <v>23</v>
      </c>
      <c r="F12" s="3" t="s">
        <v>37</v>
      </c>
      <c r="G12" s="0" t="n">
        <v>45</v>
      </c>
      <c r="H12" s="4" t="n">
        <v>1101.19</v>
      </c>
      <c r="I12" s="0" t="n">
        <v>15</v>
      </c>
      <c r="J12" s="3" t="s">
        <v>19</v>
      </c>
    </row>
    <row r="13" customFormat="false" ht="14.25" hidden="false" customHeight="false" outlineLevel="0" collapsed="false">
      <c r="A13" s="0" t="s">
        <v>42</v>
      </c>
      <c r="B13" s="2" t="n">
        <v>45362</v>
      </c>
      <c r="C13" s="3" t="s">
        <v>43</v>
      </c>
      <c r="D13" s="3" t="s">
        <v>29</v>
      </c>
      <c r="E13" s="3" t="s">
        <v>44</v>
      </c>
      <c r="F13" s="3" t="s">
        <v>45</v>
      </c>
      <c r="G13" s="0" t="n">
        <v>31</v>
      </c>
      <c r="H13" s="4" t="n">
        <v>634.12</v>
      </c>
      <c r="I13" s="0" t="n">
        <v>15</v>
      </c>
      <c r="J13" s="3" t="s">
        <v>40</v>
      </c>
    </row>
    <row r="14" customFormat="false" ht="14.25" hidden="false" customHeight="false" outlineLevel="0" collapsed="false">
      <c r="A14" s="0" t="s">
        <v>46</v>
      </c>
      <c r="B14" s="2" t="n">
        <v>45582</v>
      </c>
      <c r="C14" s="3" t="s">
        <v>31</v>
      </c>
      <c r="D14" s="3" t="s">
        <v>12</v>
      </c>
      <c r="E14" s="3" t="s">
        <v>44</v>
      </c>
      <c r="F14" s="3" t="s">
        <v>47</v>
      </c>
      <c r="G14" s="0" t="n">
        <v>39</v>
      </c>
      <c r="H14" s="4" t="n">
        <v>444.28</v>
      </c>
      <c r="I14" s="0" t="n">
        <v>10</v>
      </c>
      <c r="J14" s="3" t="s">
        <v>15</v>
      </c>
    </row>
    <row r="15" customFormat="false" ht="14.25" hidden="false" customHeight="false" outlineLevel="0" collapsed="false">
      <c r="A15" s="0" t="s">
        <v>48</v>
      </c>
      <c r="B15" s="2" t="n">
        <v>45495</v>
      </c>
      <c r="C15" s="3" t="s">
        <v>21</v>
      </c>
      <c r="D15" s="3" t="s">
        <v>27</v>
      </c>
      <c r="E15" s="3" t="s">
        <v>13</v>
      </c>
      <c r="F15" s="3" t="s">
        <v>18</v>
      </c>
      <c r="G15" s="0" t="n">
        <v>1</v>
      </c>
      <c r="H15" s="4" t="n">
        <v>108.32</v>
      </c>
      <c r="I15" s="0" t="n">
        <v>15</v>
      </c>
      <c r="J15" s="3" t="s">
        <v>40</v>
      </c>
    </row>
    <row r="16" customFormat="false" ht="14.25" hidden="false" customHeight="false" outlineLevel="0" collapsed="false">
      <c r="A16" s="0" t="s">
        <v>49</v>
      </c>
      <c r="B16" s="2" t="n">
        <v>45292</v>
      </c>
      <c r="C16" s="3" t="s">
        <v>17</v>
      </c>
      <c r="D16" s="3" t="s">
        <v>27</v>
      </c>
      <c r="E16" s="3" t="s">
        <v>44</v>
      </c>
      <c r="F16" s="3" t="s">
        <v>50</v>
      </c>
      <c r="G16" s="0" t="n">
        <v>31</v>
      </c>
      <c r="H16" s="4" t="n">
        <v>686.19</v>
      </c>
      <c r="I16" s="0" t="n">
        <v>0</v>
      </c>
      <c r="J16" s="3" t="s">
        <v>40</v>
      </c>
    </row>
    <row r="17" customFormat="false" ht="14.25" hidden="false" customHeight="false" outlineLevel="0" collapsed="false">
      <c r="A17" s="0" t="s">
        <v>51</v>
      </c>
      <c r="B17" s="2" t="n">
        <v>45317</v>
      </c>
      <c r="C17" s="3" t="s">
        <v>31</v>
      </c>
      <c r="D17" s="3" t="s">
        <v>29</v>
      </c>
      <c r="E17" s="3" t="s">
        <v>44</v>
      </c>
      <c r="F17" s="3" t="s">
        <v>45</v>
      </c>
      <c r="G17" s="0" t="n">
        <v>2</v>
      </c>
      <c r="H17" s="4" t="n">
        <v>761.25</v>
      </c>
      <c r="I17" s="0" t="n">
        <v>0</v>
      </c>
      <c r="J17" s="3" t="s">
        <v>15</v>
      </c>
    </row>
    <row r="18" customFormat="false" ht="14.25" hidden="false" customHeight="false" outlineLevel="0" collapsed="false">
      <c r="A18" s="0" t="s">
        <v>52</v>
      </c>
      <c r="B18" s="2" t="n">
        <v>45325</v>
      </c>
      <c r="C18" s="3" t="s">
        <v>26</v>
      </c>
      <c r="D18" s="3" t="s">
        <v>22</v>
      </c>
      <c r="E18" s="3" t="s">
        <v>23</v>
      </c>
      <c r="F18" s="3" t="s">
        <v>53</v>
      </c>
      <c r="G18" s="0" t="n">
        <v>2</v>
      </c>
      <c r="H18" s="4" t="n">
        <v>718.22</v>
      </c>
      <c r="I18" s="0" t="n">
        <v>5</v>
      </c>
      <c r="J18" s="3" t="s">
        <v>19</v>
      </c>
    </row>
    <row r="19" customFormat="false" ht="14.25" hidden="false" customHeight="false" outlineLevel="0" collapsed="false">
      <c r="A19" s="0" t="s">
        <v>54</v>
      </c>
      <c r="B19" s="2" t="n">
        <v>45421</v>
      </c>
      <c r="C19" s="3" t="s">
        <v>17</v>
      </c>
      <c r="D19" s="3" t="s">
        <v>27</v>
      </c>
      <c r="E19" s="3" t="s">
        <v>13</v>
      </c>
      <c r="F19" s="3" t="s">
        <v>18</v>
      </c>
      <c r="G19" s="0" t="n">
        <v>48</v>
      </c>
      <c r="H19" s="4" t="n">
        <v>55.26</v>
      </c>
      <c r="I19" s="0" t="n">
        <v>15</v>
      </c>
      <c r="J19" s="3" t="s">
        <v>40</v>
      </c>
    </row>
    <row r="20" customFormat="false" ht="14.25" hidden="false" customHeight="false" outlineLevel="0" collapsed="false">
      <c r="A20" s="0" t="s">
        <v>55</v>
      </c>
      <c r="B20" s="2" t="n">
        <v>45406</v>
      </c>
      <c r="C20" s="3" t="s">
        <v>21</v>
      </c>
      <c r="D20" s="3" t="s">
        <v>22</v>
      </c>
      <c r="E20" s="3" t="s">
        <v>13</v>
      </c>
      <c r="F20" s="3" t="s">
        <v>14</v>
      </c>
      <c r="G20" s="0" t="n">
        <v>24</v>
      </c>
      <c r="H20" s="4" t="n">
        <v>22.61</v>
      </c>
      <c r="I20" s="0" t="n">
        <v>15</v>
      </c>
      <c r="J20" s="3" t="s">
        <v>15</v>
      </c>
    </row>
    <row r="21" customFormat="false" ht="14.25" hidden="false" customHeight="false" outlineLevel="0" collapsed="false">
      <c r="A21" s="0" t="s">
        <v>56</v>
      </c>
      <c r="B21" s="2" t="n">
        <v>45406</v>
      </c>
      <c r="C21" s="3" t="s">
        <v>11</v>
      </c>
      <c r="D21" s="3" t="s">
        <v>29</v>
      </c>
      <c r="E21" s="3" t="s">
        <v>32</v>
      </c>
      <c r="F21" s="3" t="s">
        <v>33</v>
      </c>
      <c r="G21" s="0" t="n">
        <v>19</v>
      </c>
      <c r="H21" s="4" t="n">
        <v>45.97</v>
      </c>
      <c r="I21" s="0" t="n">
        <v>20</v>
      </c>
      <c r="J21" s="3" t="s">
        <v>19</v>
      </c>
    </row>
    <row r="22" customFormat="false" ht="14.25" hidden="false" customHeight="false" outlineLevel="0" collapsed="false">
      <c r="A22" s="0" t="s">
        <v>57</v>
      </c>
      <c r="B22" s="2" t="n">
        <v>45418</v>
      </c>
      <c r="C22" s="3" t="s">
        <v>11</v>
      </c>
      <c r="D22" s="3" t="s">
        <v>22</v>
      </c>
      <c r="E22" s="3" t="s">
        <v>44</v>
      </c>
      <c r="F22" s="3" t="s">
        <v>58</v>
      </c>
      <c r="G22" s="0" t="n">
        <v>46</v>
      </c>
      <c r="H22" s="4" t="n">
        <v>166.89</v>
      </c>
      <c r="I22" s="0" t="n">
        <v>20</v>
      </c>
      <c r="J22" s="3" t="s">
        <v>40</v>
      </c>
    </row>
    <row r="23" customFormat="false" ht="14.25" hidden="false" customHeight="false" outlineLevel="0" collapsed="false">
      <c r="A23" s="0" t="s">
        <v>59</v>
      </c>
      <c r="B23" s="2" t="n">
        <v>45414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37</v>
      </c>
      <c r="H23" s="4" t="n">
        <v>737.23</v>
      </c>
      <c r="I23" s="0" t="n">
        <v>15</v>
      </c>
      <c r="J23" s="3" t="s">
        <v>19</v>
      </c>
    </row>
    <row r="24" customFormat="false" ht="14.25" hidden="false" customHeight="false" outlineLevel="0" collapsed="false">
      <c r="A24" s="0" t="s">
        <v>60</v>
      </c>
      <c r="B24" s="2" t="n">
        <v>45378</v>
      </c>
      <c r="C24" s="3" t="s">
        <v>26</v>
      </c>
      <c r="D24" s="3" t="s">
        <v>27</v>
      </c>
      <c r="E24" s="3" t="s">
        <v>13</v>
      </c>
      <c r="F24" s="3" t="s">
        <v>18</v>
      </c>
      <c r="G24" s="0" t="n">
        <v>22</v>
      </c>
      <c r="H24" s="4" t="n">
        <v>33.94</v>
      </c>
      <c r="I24" s="0" t="n">
        <v>5</v>
      </c>
      <c r="J24" s="3" t="s">
        <v>15</v>
      </c>
    </row>
    <row r="25" customFormat="false" ht="14.25" hidden="false" customHeight="false" outlineLevel="0" collapsed="false">
      <c r="A25" s="0" t="s">
        <v>61</v>
      </c>
      <c r="B25" s="2" t="n">
        <v>45474</v>
      </c>
      <c r="C25" s="3" t="s">
        <v>26</v>
      </c>
      <c r="D25" s="3" t="s">
        <v>27</v>
      </c>
      <c r="E25" s="3" t="s">
        <v>32</v>
      </c>
      <c r="F25" s="3" t="s">
        <v>62</v>
      </c>
      <c r="G25" s="0" t="n">
        <v>14</v>
      </c>
      <c r="H25" s="4" t="n">
        <v>54.06</v>
      </c>
      <c r="I25" s="0" t="n">
        <v>0</v>
      </c>
      <c r="J25" s="3" t="s">
        <v>19</v>
      </c>
    </row>
    <row r="26" customFormat="false" ht="14.25" hidden="false" customHeight="false" outlineLevel="0" collapsed="false">
      <c r="A26" s="0" t="s">
        <v>63</v>
      </c>
      <c r="B26" s="2" t="n">
        <v>45292</v>
      </c>
      <c r="C26" s="3" t="s">
        <v>43</v>
      </c>
      <c r="D26" s="3" t="s">
        <v>27</v>
      </c>
      <c r="E26" s="3" t="s">
        <v>13</v>
      </c>
      <c r="F26" s="3" t="s">
        <v>64</v>
      </c>
      <c r="G26" s="0" t="n">
        <v>8</v>
      </c>
      <c r="H26" s="4" t="n">
        <v>81.2</v>
      </c>
      <c r="I26" s="0" t="n">
        <v>5</v>
      </c>
      <c r="J26" s="3" t="s">
        <v>19</v>
      </c>
    </row>
    <row r="27" customFormat="false" ht="14.25" hidden="false" customHeight="false" outlineLevel="0" collapsed="false">
      <c r="A27" s="0" t="s">
        <v>65</v>
      </c>
      <c r="B27" s="2" t="n">
        <v>45608</v>
      </c>
      <c r="C27" s="3" t="s">
        <v>26</v>
      </c>
      <c r="D27" s="3" t="s">
        <v>27</v>
      </c>
      <c r="E27" s="3" t="s">
        <v>13</v>
      </c>
      <c r="F27" s="3" t="s">
        <v>64</v>
      </c>
      <c r="G27" s="0" t="n">
        <v>6</v>
      </c>
      <c r="H27" s="4" t="n">
        <v>20.56</v>
      </c>
      <c r="I27" s="0" t="n">
        <v>0</v>
      </c>
      <c r="J27" s="3" t="s">
        <v>19</v>
      </c>
    </row>
    <row r="28" customFormat="false" ht="14.25" hidden="false" customHeight="false" outlineLevel="0" collapsed="false">
      <c r="A28" s="0" t="s">
        <v>66</v>
      </c>
      <c r="B28" s="2" t="n">
        <v>45642</v>
      </c>
      <c r="C28" s="3" t="s">
        <v>17</v>
      </c>
      <c r="D28" s="3" t="s">
        <v>29</v>
      </c>
      <c r="E28" s="3" t="s">
        <v>32</v>
      </c>
      <c r="F28" s="3" t="s">
        <v>62</v>
      </c>
      <c r="G28" s="0" t="n">
        <v>50</v>
      </c>
      <c r="H28" s="4" t="n">
        <v>21.64</v>
      </c>
      <c r="I28" s="0" t="n">
        <v>15</v>
      </c>
      <c r="J28" s="3" t="s">
        <v>40</v>
      </c>
    </row>
    <row r="29" customFormat="false" ht="14.25" hidden="false" customHeight="false" outlineLevel="0" collapsed="false">
      <c r="A29" s="0" t="s">
        <v>67</v>
      </c>
      <c r="B29" s="2" t="n">
        <v>45329</v>
      </c>
      <c r="C29" s="3" t="s">
        <v>21</v>
      </c>
      <c r="D29" s="3" t="s">
        <v>22</v>
      </c>
      <c r="E29" s="3" t="s">
        <v>32</v>
      </c>
      <c r="F29" s="3" t="s">
        <v>33</v>
      </c>
      <c r="G29" s="0" t="n">
        <v>4</v>
      </c>
      <c r="H29" s="4" t="n">
        <v>42.12</v>
      </c>
      <c r="I29" s="0" t="n">
        <v>10</v>
      </c>
      <c r="J29" s="3" t="s">
        <v>40</v>
      </c>
    </row>
    <row r="30" customFormat="false" ht="14.25" hidden="false" customHeight="false" outlineLevel="0" collapsed="false">
      <c r="A30" s="0" t="s">
        <v>68</v>
      </c>
      <c r="B30" s="2" t="n">
        <v>45475</v>
      </c>
      <c r="C30" s="3" t="s">
        <v>43</v>
      </c>
      <c r="D30" s="3" t="s">
        <v>12</v>
      </c>
      <c r="E30" s="3" t="s">
        <v>32</v>
      </c>
      <c r="F30" s="3" t="s">
        <v>69</v>
      </c>
      <c r="G30" s="0" t="n">
        <v>16</v>
      </c>
      <c r="H30" s="4" t="n">
        <v>44.53</v>
      </c>
      <c r="I30" s="0" t="n">
        <v>10</v>
      </c>
      <c r="J30" s="3" t="s">
        <v>19</v>
      </c>
    </row>
    <row r="31" customFormat="false" ht="14.25" hidden="false" customHeight="false" outlineLevel="0" collapsed="false">
      <c r="A31" s="0" t="s">
        <v>70</v>
      </c>
      <c r="B31" s="2" t="n">
        <v>45470</v>
      </c>
      <c r="C31" s="3" t="s">
        <v>31</v>
      </c>
      <c r="D31" s="3" t="s">
        <v>12</v>
      </c>
      <c r="E31" s="3" t="s">
        <v>32</v>
      </c>
      <c r="F31" s="3" t="s">
        <v>62</v>
      </c>
      <c r="G31" s="0" t="n">
        <v>26</v>
      </c>
      <c r="H31" s="4" t="n">
        <v>115.09</v>
      </c>
      <c r="I31" s="0" t="n">
        <v>10</v>
      </c>
      <c r="J31" s="3" t="s">
        <v>40</v>
      </c>
    </row>
    <row r="32" customFormat="false" ht="14.25" hidden="false" customHeight="false" outlineLevel="0" collapsed="false">
      <c r="A32" s="0" t="s">
        <v>71</v>
      </c>
      <c r="B32" s="2" t="n">
        <v>45356</v>
      </c>
      <c r="C32" s="3" t="s">
        <v>17</v>
      </c>
      <c r="D32" s="3" t="s">
        <v>12</v>
      </c>
      <c r="E32" s="3" t="s">
        <v>13</v>
      </c>
      <c r="F32" s="3" t="s">
        <v>14</v>
      </c>
      <c r="G32" s="0" t="n">
        <v>50</v>
      </c>
      <c r="H32" s="4" t="n">
        <v>91.44</v>
      </c>
      <c r="I32" s="0" t="n">
        <v>15</v>
      </c>
      <c r="J32" s="3" t="s">
        <v>15</v>
      </c>
    </row>
    <row r="33" customFormat="false" ht="14.25" hidden="false" customHeight="false" outlineLevel="0" collapsed="false">
      <c r="A33" s="0" t="s">
        <v>72</v>
      </c>
      <c r="B33" s="2" t="n">
        <v>45390</v>
      </c>
      <c r="C33" s="3" t="s">
        <v>31</v>
      </c>
      <c r="D33" s="3" t="s">
        <v>29</v>
      </c>
      <c r="E33" s="3" t="s">
        <v>13</v>
      </c>
      <c r="F33" s="3" t="s">
        <v>73</v>
      </c>
      <c r="G33" s="0" t="n">
        <v>10</v>
      </c>
      <c r="H33" s="4" t="n">
        <v>6.26</v>
      </c>
      <c r="I33" s="0" t="n">
        <v>20</v>
      </c>
      <c r="J33" s="3" t="s">
        <v>15</v>
      </c>
    </row>
    <row r="34" customFormat="false" ht="14.25" hidden="false" customHeight="false" outlineLevel="0" collapsed="false">
      <c r="A34" s="0" t="s">
        <v>74</v>
      </c>
      <c r="B34" s="2" t="n">
        <v>45350</v>
      </c>
      <c r="C34" s="3" t="s">
        <v>17</v>
      </c>
      <c r="D34" s="3" t="s">
        <v>29</v>
      </c>
      <c r="E34" s="3" t="s">
        <v>44</v>
      </c>
      <c r="F34" s="3" t="s">
        <v>50</v>
      </c>
      <c r="G34" s="0" t="n">
        <v>43</v>
      </c>
      <c r="H34" s="4" t="n">
        <v>562.78</v>
      </c>
      <c r="I34" s="0" t="n">
        <v>15</v>
      </c>
      <c r="J34" s="3" t="s">
        <v>15</v>
      </c>
    </row>
    <row r="35" customFormat="false" ht="14.25" hidden="false" customHeight="false" outlineLevel="0" collapsed="false">
      <c r="A35" s="0" t="s">
        <v>75</v>
      </c>
      <c r="B35" s="2" t="n">
        <v>45348</v>
      </c>
      <c r="C35" s="3" t="s">
        <v>31</v>
      </c>
      <c r="D35" s="3" t="s">
        <v>22</v>
      </c>
      <c r="E35" s="3" t="s">
        <v>44</v>
      </c>
      <c r="F35" s="3" t="s">
        <v>76</v>
      </c>
      <c r="G35" s="0" t="n">
        <v>37</v>
      </c>
      <c r="H35" s="4" t="n">
        <v>546.81</v>
      </c>
      <c r="I35" s="0" t="n">
        <v>10</v>
      </c>
      <c r="J35" s="3" t="s">
        <v>40</v>
      </c>
    </row>
    <row r="36" customFormat="false" ht="14.25" hidden="false" customHeight="false" outlineLevel="0" collapsed="false">
      <c r="A36" s="0" t="s">
        <v>77</v>
      </c>
      <c r="B36" s="2" t="n">
        <v>45350</v>
      </c>
      <c r="C36" s="3" t="s">
        <v>31</v>
      </c>
      <c r="D36" s="3" t="s">
        <v>12</v>
      </c>
      <c r="E36" s="3" t="s">
        <v>32</v>
      </c>
      <c r="F36" s="3" t="s">
        <v>39</v>
      </c>
      <c r="G36" s="0" t="n">
        <v>16</v>
      </c>
      <c r="H36" s="4" t="n">
        <v>31.01</v>
      </c>
      <c r="I36" s="0" t="n">
        <v>20</v>
      </c>
      <c r="J36" s="3" t="s">
        <v>15</v>
      </c>
    </row>
    <row r="37" customFormat="false" ht="14.25" hidden="false" customHeight="false" outlineLevel="0" collapsed="false">
      <c r="A37" s="0" t="s">
        <v>78</v>
      </c>
      <c r="B37" s="2" t="n">
        <v>45540</v>
      </c>
      <c r="C37" s="3" t="s">
        <v>43</v>
      </c>
      <c r="D37" s="3" t="s">
        <v>22</v>
      </c>
      <c r="E37" s="3" t="s">
        <v>23</v>
      </c>
      <c r="F37" s="3" t="s">
        <v>79</v>
      </c>
      <c r="G37" s="0" t="n">
        <v>23</v>
      </c>
      <c r="H37" s="4" t="n">
        <v>636.73</v>
      </c>
      <c r="I37" s="0" t="n">
        <v>15</v>
      </c>
      <c r="J37" s="3" t="s">
        <v>40</v>
      </c>
    </row>
    <row r="38" customFormat="false" ht="14.25" hidden="false" customHeight="false" outlineLevel="0" collapsed="false">
      <c r="A38" s="0" t="s">
        <v>80</v>
      </c>
      <c r="B38" s="2" t="n">
        <v>45433</v>
      </c>
      <c r="C38" s="3" t="s">
        <v>26</v>
      </c>
      <c r="D38" s="3" t="s">
        <v>22</v>
      </c>
      <c r="E38" s="3" t="s">
        <v>44</v>
      </c>
      <c r="F38" s="3" t="s">
        <v>47</v>
      </c>
      <c r="G38" s="0" t="n">
        <v>39</v>
      </c>
      <c r="H38" s="4" t="n">
        <v>362.42</v>
      </c>
      <c r="I38" s="0" t="n">
        <v>0</v>
      </c>
      <c r="J38" s="3" t="s">
        <v>40</v>
      </c>
    </row>
    <row r="39" customFormat="false" ht="14.25" hidden="false" customHeight="false" outlineLevel="0" collapsed="false">
      <c r="A39" s="0" t="s">
        <v>81</v>
      </c>
      <c r="B39" s="2" t="n">
        <v>45635</v>
      </c>
      <c r="C39" s="3" t="s">
        <v>11</v>
      </c>
      <c r="D39" s="3" t="s">
        <v>12</v>
      </c>
      <c r="E39" s="3" t="s">
        <v>23</v>
      </c>
      <c r="F39" s="3" t="s">
        <v>82</v>
      </c>
      <c r="G39" s="0" t="n">
        <v>35</v>
      </c>
      <c r="H39" s="4" t="n">
        <v>732.9</v>
      </c>
      <c r="I39" s="0" t="n">
        <v>10</v>
      </c>
      <c r="J39" s="3" t="s">
        <v>40</v>
      </c>
    </row>
    <row r="40" customFormat="false" ht="14.25" hidden="false" customHeight="false" outlineLevel="0" collapsed="false">
      <c r="A40" s="0" t="s">
        <v>83</v>
      </c>
      <c r="B40" s="2" t="n">
        <v>45366</v>
      </c>
      <c r="C40" s="3" t="s">
        <v>17</v>
      </c>
      <c r="D40" s="3" t="s">
        <v>12</v>
      </c>
      <c r="E40" s="3" t="s">
        <v>44</v>
      </c>
      <c r="F40" s="3" t="s">
        <v>58</v>
      </c>
      <c r="G40" s="0" t="n">
        <v>28</v>
      </c>
      <c r="H40" s="4" t="n">
        <v>280.76</v>
      </c>
      <c r="I40" s="0" t="n">
        <v>5</v>
      </c>
      <c r="J40" s="3" t="s">
        <v>15</v>
      </c>
    </row>
    <row r="41" customFormat="false" ht="14.25" hidden="false" customHeight="false" outlineLevel="0" collapsed="false">
      <c r="A41" s="0" t="s">
        <v>84</v>
      </c>
      <c r="B41" s="2" t="n">
        <v>45552</v>
      </c>
      <c r="C41" s="3" t="s">
        <v>17</v>
      </c>
      <c r="D41" s="3" t="s">
        <v>22</v>
      </c>
      <c r="E41" s="3" t="s">
        <v>32</v>
      </c>
      <c r="F41" s="3" t="s">
        <v>33</v>
      </c>
      <c r="G41" s="0" t="n">
        <v>18</v>
      </c>
      <c r="H41" s="4" t="n">
        <v>101.69</v>
      </c>
      <c r="I41" s="0" t="n">
        <v>10</v>
      </c>
      <c r="J41" s="3" t="s">
        <v>19</v>
      </c>
    </row>
    <row r="42" customFormat="false" ht="14.25" hidden="false" customHeight="false" outlineLevel="0" collapsed="false">
      <c r="A42" s="0" t="s">
        <v>85</v>
      </c>
      <c r="B42" s="2" t="n">
        <v>45517</v>
      </c>
      <c r="C42" s="3" t="s">
        <v>11</v>
      </c>
      <c r="D42" s="3" t="s">
        <v>22</v>
      </c>
      <c r="E42" s="3" t="s">
        <v>44</v>
      </c>
      <c r="F42" s="3" t="s">
        <v>76</v>
      </c>
      <c r="G42" s="0" t="n">
        <v>12</v>
      </c>
      <c r="H42" s="4" t="n">
        <v>271.05</v>
      </c>
      <c r="I42" s="0" t="n">
        <v>5</v>
      </c>
      <c r="J42" s="3" t="s">
        <v>40</v>
      </c>
    </row>
    <row r="43" customFormat="false" ht="14.25" hidden="false" customHeight="false" outlineLevel="0" collapsed="false">
      <c r="A43" s="0" t="s">
        <v>86</v>
      </c>
      <c r="B43" s="2" t="n">
        <v>45357</v>
      </c>
      <c r="C43" s="3" t="s">
        <v>17</v>
      </c>
      <c r="D43" s="3" t="s">
        <v>29</v>
      </c>
      <c r="E43" s="3" t="s">
        <v>13</v>
      </c>
      <c r="F43" s="3" t="s">
        <v>64</v>
      </c>
      <c r="G43" s="0" t="n">
        <v>46</v>
      </c>
      <c r="H43" s="4" t="n">
        <v>130</v>
      </c>
      <c r="I43" s="0" t="n">
        <v>5</v>
      </c>
      <c r="J43" s="3" t="s">
        <v>15</v>
      </c>
    </row>
    <row r="44" customFormat="false" ht="14.25" hidden="false" customHeight="false" outlineLevel="0" collapsed="false">
      <c r="A44" s="0" t="s">
        <v>87</v>
      </c>
      <c r="B44" s="2" t="n">
        <v>45394</v>
      </c>
      <c r="C44" s="3" t="s">
        <v>26</v>
      </c>
      <c r="D44" s="3" t="s">
        <v>22</v>
      </c>
      <c r="E44" s="3" t="s">
        <v>32</v>
      </c>
      <c r="F44" s="3" t="s">
        <v>39</v>
      </c>
      <c r="G44" s="0" t="n">
        <v>40</v>
      </c>
      <c r="H44" s="4" t="n">
        <v>82.18</v>
      </c>
      <c r="I44" s="0" t="n">
        <v>20</v>
      </c>
      <c r="J44" s="3" t="s">
        <v>15</v>
      </c>
    </row>
    <row r="45" customFormat="false" ht="14.25" hidden="false" customHeight="false" outlineLevel="0" collapsed="false">
      <c r="A45" s="0" t="s">
        <v>88</v>
      </c>
      <c r="B45" s="2" t="n">
        <v>45373</v>
      </c>
      <c r="C45" s="3" t="s">
        <v>43</v>
      </c>
      <c r="D45" s="3" t="s">
        <v>22</v>
      </c>
      <c r="E45" s="3" t="s">
        <v>32</v>
      </c>
      <c r="F45" s="3" t="s">
        <v>62</v>
      </c>
      <c r="G45" s="0" t="n">
        <v>44</v>
      </c>
      <c r="H45" s="4" t="n">
        <v>48.61</v>
      </c>
      <c r="I45" s="0" t="n">
        <v>20</v>
      </c>
      <c r="J45" s="3" t="s">
        <v>15</v>
      </c>
    </row>
    <row r="46" customFormat="false" ht="14.25" hidden="false" customHeight="false" outlineLevel="0" collapsed="false">
      <c r="A46" s="0" t="s">
        <v>89</v>
      </c>
      <c r="B46" s="2" t="n">
        <v>45528</v>
      </c>
      <c r="C46" s="3" t="s">
        <v>43</v>
      </c>
      <c r="D46" s="3" t="s">
        <v>29</v>
      </c>
      <c r="E46" s="3" t="s">
        <v>44</v>
      </c>
      <c r="F46" s="3" t="s">
        <v>50</v>
      </c>
      <c r="G46" s="0" t="n">
        <v>26</v>
      </c>
      <c r="H46" s="4" t="n">
        <v>203.63</v>
      </c>
      <c r="I46" s="0" t="n">
        <v>20</v>
      </c>
      <c r="J46" s="3" t="s">
        <v>19</v>
      </c>
    </row>
    <row r="47" customFormat="false" ht="14.25" hidden="false" customHeight="false" outlineLevel="0" collapsed="false">
      <c r="A47" s="0" t="s">
        <v>90</v>
      </c>
      <c r="B47" s="2" t="n">
        <v>45362</v>
      </c>
      <c r="C47" s="3" t="s">
        <v>21</v>
      </c>
      <c r="D47" s="3" t="s">
        <v>27</v>
      </c>
      <c r="E47" s="3" t="s">
        <v>44</v>
      </c>
      <c r="F47" s="3" t="s">
        <v>76</v>
      </c>
      <c r="G47" s="0" t="n">
        <v>18</v>
      </c>
      <c r="H47" s="4" t="n">
        <v>111.98</v>
      </c>
      <c r="I47" s="0" t="n">
        <v>5</v>
      </c>
      <c r="J47" s="3" t="s">
        <v>19</v>
      </c>
    </row>
    <row r="48" customFormat="false" ht="14.25" hidden="false" customHeight="false" outlineLevel="0" collapsed="false">
      <c r="A48" s="0" t="s">
        <v>91</v>
      </c>
      <c r="B48" s="2" t="n">
        <v>45396</v>
      </c>
      <c r="C48" s="3" t="s">
        <v>17</v>
      </c>
      <c r="D48" s="3" t="s">
        <v>29</v>
      </c>
      <c r="E48" s="3" t="s">
        <v>13</v>
      </c>
      <c r="F48" s="3" t="s">
        <v>92</v>
      </c>
      <c r="G48" s="0" t="n">
        <v>28</v>
      </c>
      <c r="H48" s="4" t="n">
        <v>64.35</v>
      </c>
      <c r="I48" s="0" t="n">
        <v>20</v>
      </c>
      <c r="J48" s="3" t="s">
        <v>15</v>
      </c>
    </row>
    <row r="49" customFormat="false" ht="14.25" hidden="false" customHeight="false" outlineLevel="0" collapsed="false">
      <c r="A49" s="0" t="s">
        <v>93</v>
      </c>
      <c r="B49" s="2" t="n">
        <v>45502</v>
      </c>
      <c r="C49" s="3" t="s">
        <v>17</v>
      </c>
      <c r="D49" s="3" t="s">
        <v>27</v>
      </c>
      <c r="E49" s="3" t="s">
        <v>23</v>
      </c>
      <c r="F49" s="3" t="s">
        <v>79</v>
      </c>
      <c r="G49" s="0" t="n">
        <v>13</v>
      </c>
      <c r="H49" s="4" t="n">
        <v>837.9</v>
      </c>
      <c r="I49" s="0" t="n">
        <v>20</v>
      </c>
      <c r="J49" s="3" t="s">
        <v>19</v>
      </c>
    </row>
    <row r="50" customFormat="false" ht="14.25" hidden="false" customHeight="false" outlineLevel="0" collapsed="false">
      <c r="A50" s="0" t="s">
        <v>94</v>
      </c>
      <c r="B50" s="2" t="n">
        <v>45487</v>
      </c>
      <c r="C50" s="3" t="s">
        <v>43</v>
      </c>
      <c r="D50" s="3" t="s">
        <v>12</v>
      </c>
      <c r="E50" s="3" t="s">
        <v>32</v>
      </c>
      <c r="F50" s="3" t="s">
        <v>95</v>
      </c>
      <c r="G50" s="0" t="n">
        <v>9</v>
      </c>
      <c r="H50" s="4" t="n">
        <v>72.49</v>
      </c>
      <c r="I50" s="0" t="n">
        <v>5</v>
      </c>
      <c r="J50" s="3" t="s">
        <v>19</v>
      </c>
    </row>
    <row r="51" customFormat="false" ht="14.25" hidden="false" customHeight="false" outlineLevel="0" collapsed="false">
      <c r="A51" s="0" t="s">
        <v>96</v>
      </c>
      <c r="B51" s="2" t="n">
        <v>45589</v>
      </c>
      <c r="C51" s="3" t="s">
        <v>21</v>
      </c>
      <c r="D51" s="3" t="s">
        <v>29</v>
      </c>
      <c r="E51" s="3" t="s">
        <v>32</v>
      </c>
      <c r="F51" s="3" t="s">
        <v>95</v>
      </c>
      <c r="G51" s="0" t="n">
        <v>5</v>
      </c>
      <c r="H51" s="4" t="n">
        <v>69.07</v>
      </c>
      <c r="I51" s="0" t="n">
        <v>5</v>
      </c>
      <c r="J51" s="3" t="s">
        <v>19</v>
      </c>
    </row>
    <row r="52" customFormat="false" ht="14.25" hidden="false" customHeight="false" outlineLevel="0" collapsed="false">
      <c r="A52" s="0" t="s">
        <v>97</v>
      </c>
      <c r="B52" s="2" t="n">
        <v>45588</v>
      </c>
      <c r="C52" s="3" t="s">
        <v>31</v>
      </c>
      <c r="D52" s="3" t="s">
        <v>22</v>
      </c>
      <c r="E52" s="3" t="s">
        <v>32</v>
      </c>
      <c r="F52" s="3" t="s">
        <v>39</v>
      </c>
      <c r="G52" s="0" t="n">
        <v>9</v>
      </c>
      <c r="H52" s="4" t="n">
        <v>50.79</v>
      </c>
      <c r="I52" s="0" t="n">
        <v>10</v>
      </c>
      <c r="J52" s="3" t="s">
        <v>15</v>
      </c>
    </row>
    <row r="53" customFormat="false" ht="14.25" hidden="false" customHeight="false" outlineLevel="0" collapsed="false">
      <c r="A53" s="0" t="s">
        <v>98</v>
      </c>
      <c r="B53" s="2" t="n">
        <v>45415</v>
      </c>
      <c r="C53" s="3" t="s">
        <v>21</v>
      </c>
      <c r="D53" s="3" t="s">
        <v>27</v>
      </c>
      <c r="E53" s="3" t="s">
        <v>23</v>
      </c>
      <c r="F53" s="3" t="s">
        <v>82</v>
      </c>
      <c r="G53" s="0" t="n">
        <v>44</v>
      </c>
      <c r="H53" s="4" t="n">
        <v>991.4</v>
      </c>
      <c r="I53" s="0" t="n">
        <v>20</v>
      </c>
      <c r="J53" s="3" t="s">
        <v>15</v>
      </c>
    </row>
    <row r="54" customFormat="false" ht="14.25" hidden="false" customHeight="false" outlineLevel="0" collapsed="false">
      <c r="A54" s="0" t="s">
        <v>99</v>
      </c>
      <c r="B54" s="2" t="n">
        <v>45573</v>
      </c>
      <c r="C54" s="3" t="s">
        <v>17</v>
      </c>
      <c r="D54" s="3" t="s">
        <v>22</v>
      </c>
      <c r="E54" s="3" t="s">
        <v>23</v>
      </c>
      <c r="F54" s="3" t="s">
        <v>82</v>
      </c>
      <c r="G54" s="0" t="n">
        <v>37</v>
      </c>
      <c r="H54" s="4" t="n">
        <v>419.35</v>
      </c>
      <c r="I54" s="0" t="n">
        <v>20</v>
      </c>
      <c r="J54" s="3" t="s">
        <v>40</v>
      </c>
    </row>
    <row r="55" customFormat="false" ht="14.25" hidden="false" customHeight="false" outlineLevel="0" collapsed="false">
      <c r="A55" s="0" t="s">
        <v>100</v>
      </c>
      <c r="B55" s="2" t="n">
        <v>45616</v>
      </c>
      <c r="C55" s="3" t="s">
        <v>43</v>
      </c>
      <c r="D55" s="3" t="s">
        <v>27</v>
      </c>
      <c r="E55" s="3" t="s">
        <v>23</v>
      </c>
      <c r="F55" s="3" t="s">
        <v>79</v>
      </c>
      <c r="G55" s="0" t="n">
        <v>10</v>
      </c>
      <c r="H55" s="4" t="n">
        <v>281.07</v>
      </c>
      <c r="I55" s="0" t="n">
        <v>15</v>
      </c>
      <c r="J55" s="3" t="s">
        <v>15</v>
      </c>
    </row>
    <row r="56" customFormat="false" ht="14.25" hidden="false" customHeight="false" outlineLevel="0" collapsed="false">
      <c r="A56" s="0" t="s">
        <v>101</v>
      </c>
      <c r="B56" s="2" t="n">
        <v>45322</v>
      </c>
      <c r="C56" s="3" t="s">
        <v>31</v>
      </c>
      <c r="D56" s="3" t="s">
        <v>12</v>
      </c>
      <c r="E56" s="3" t="s">
        <v>23</v>
      </c>
      <c r="F56" s="3" t="s">
        <v>37</v>
      </c>
      <c r="G56" s="0" t="n">
        <v>47</v>
      </c>
      <c r="H56" s="4" t="n">
        <v>369.8</v>
      </c>
      <c r="I56" s="0" t="n">
        <v>15</v>
      </c>
      <c r="J56" s="3" t="s">
        <v>40</v>
      </c>
    </row>
    <row r="57" customFormat="false" ht="14.25" hidden="false" customHeight="false" outlineLevel="0" collapsed="false">
      <c r="A57" s="0" t="s">
        <v>102</v>
      </c>
      <c r="B57" s="2" t="n">
        <v>45314</v>
      </c>
      <c r="C57" s="3" t="s">
        <v>43</v>
      </c>
      <c r="D57" s="3" t="s">
        <v>12</v>
      </c>
      <c r="E57" s="3" t="s">
        <v>32</v>
      </c>
      <c r="F57" s="3" t="s">
        <v>39</v>
      </c>
      <c r="G57" s="0" t="n">
        <v>39</v>
      </c>
      <c r="H57" s="4" t="n">
        <v>109.82</v>
      </c>
      <c r="I57" s="0" t="n">
        <v>15</v>
      </c>
      <c r="J57" s="3" t="s">
        <v>15</v>
      </c>
    </row>
    <row r="58" customFormat="false" ht="14.25" hidden="false" customHeight="false" outlineLevel="0" collapsed="false">
      <c r="A58" s="0" t="s">
        <v>103</v>
      </c>
      <c r="B58" s="2" t="n">
        <v>45573</v>
      </c>
      <c r="C58" s="3" t="s">
        <v>21</v>
      </c>
      <c r="D58" s="3" t="s">
        <v>12</v>
      </c>
      <c r="E58" s="3" t="s">
        <v>23</v>
      </c>
      <c r="F58" s="3" t="s">
        <v>53</v>
      </c>
      <c r="G58" s="0" t="n">
        <v>20</v>
      </c>
      <c r="H58" s="4" t="n">
        <v>712.28</v>
      </c>
      <c r="I58" s="0" t="n">
        <v>5</v>
      </c>
      <c r="J58" s="3" t="s">
        <v>40</v>
      </c>
    </row>
    <row r="59" customFormat="false" ht="14.25" hidden="false" customHeight="false" outlineLevel="0" collapsed="false">
      <c r="A59" s="0" t="s">
        <v>104</v>
      </c>
      <c r="B59" s="2" t="n">
        <v>45524</v>
      </c>
      <c r="C59" s="3" t="s">
        <v>11</v>
      </c>
      <c r="D59" s="3" t="s">
        <v>22</v>
      </c>
      <c r="E59" s="3" t="s">
        <v>32</v>
      </c>
      <c r="F59" s="3" t="s">
        <v>62</v>
      </c>
      <c r="G59" s="0" t="n">
        <v>4</v>
      </c>
      <c r="H59" s="4" t="n">
        <v>60.19</v>
      </c>
      <c r="I59" s="0" t="n">
        <v>5</v>
      </c>
      <c r="J59" s="3" t="s">
        <v>15</v>
      </c>
    </row>
    <row r="60" customFormat="false" ht="14.25" hidden="false" customHeight="false" outlineLevel="0" collapsed="false">
      <c r="A60" s="0" t="s">
        <v>105</v>
      </c>
      <c r="B60" s="2" t="n">
        <v>45319</v>
      </c>
      <c r="C60" s="3" t="s">
        <v>11</v>
      </c>
      <c r="D60" s="3" t="s">
        <v>22</v>
      </c>
      <c r="E60" s="3" t="s">
        <v>23</v>
      </c>
      <c r="F60" s="3" t="s">
        <v>37</v>
      </c>
      <c r="G60" s="0" t="n">
        <v>13</v>
      </c>
      <c r="H60" s="4" t="n">
        <v>229.68</v>
      </c>
      <c r="I60" s="0" t="n">
        <v>15</v>
      </c>
      <c r="J60" s="3" t="s">
        <v>40</v>
      </c>
    </row>
    <row r="61" customFormat="false" ht="14.25" hidden="false" customHeight="false" outlineLevel="0" collapsed="false">
      <c r="A61" s="0" t="s">
        <v>106</v>
      </c>
      <c r="B61" s="2" t="n">
        <v>45342</v>
      </c>
      <c r="C61" s="3" t="s">
        <v>21</v>
      </c>
      <c r="D61" s="3" t="s">
        <v>22</v>
      </c>
      <c r="E61" s="3" t="s">
        <v>13</v>
      </c>
      <c r="F61" s="3" t="s">
        <v>73</v>
      </c>
      <c r="G61" s="0" t="n">
        <v>26</v>
      </c>
      <c r="H61" s="4" t="n">
        <v>39.24</v>
      </c>
      <c r="I61" s="0" t="n">
        <v>15</v>
      </c>
      <c r="J61" s="3" t="s">
        <v>15</v>
      </c>
    </row>
    <row r="62" customFormat="false" ht="14.25" hidden="false" customHeight="false" outlineLevel="0" collapsed="false">
      <c r="A62" s="0" t="s">
        <v>107</v>
      </c>
      <c r="B62" s="2" t="n">
        <v>45600</v>
      </c>
      <c r="C62" s="3" t="s">
        <v>26</v>
      </c>
      <c r="D62" s="3" t="s">
        <v>29</v>
      </c>
      <c r="E62" s="3" t="s">
        <v>23</v>
      </c>
      <c r="F62" s="3" t="s">
        <v>82</v>
      </c>
      <c r="G62" s="0" t="n">
        <v>32</v>
      </c>
      <c r="H62" s="4" t="n">
        <v>401.04</v>
      </c>
      <c r="I62" s="0" t="n">
        <v>15</v>
      </c>
      <c r="J62" s="3" t="s">
        <v>15</v>
      </c>
    </row>
    <row r="63" customFormat="false" ht="14.25" hidden="false" customHeight="false" outlineLevel="0" collapsed="false">
      <c r="A63" s="0" t="s">
        <v>108</v>
      </c>
      <c r="B63" s="2" t="n">
        <v>45627</v>
      </c>
      <c r="C63" s="3" t="s">
        <v>17</v>
      </c>
      <c r="D63" s="3" t="s">
        <v>29</v>
      </c>
      <c r="E63" s="3" t="s">
        <v>32</v>
      </c>
      <c r="F63" s="3" t="s">
        <v>33</v>
      </c>
      <c r="G63" s="0" t="n">
        <v>43</v>
      </c>
      <c r="H63" s="4" t="n">
        <v>115.8</v>
      </c>
      <c r="I63" s="0" t="n">
        <v>10</v>
      </c>
      <c r="J63" s="3" t="s">
        <v>19</v>
      </c>
    </row>
    <row r="64" customFormat="false" ht="14.25" hidden="false" customHeight="false" outlineLevel="0" collapsed="false">
      <c r="A64" s="0" t="s">
        <v>109</v>
      </c>
      <c r="B64" s="2" t="n">
        <v>45430</v>
      </c>
      <c r="C64" s="3" t="s">
        <v>17</v>
      </c>
      <c r="D64" s="3" t="s">
        <v>29</v>
      </c>
      <c r="E64" s="3" t="s">
        <v>13</v>
      </c>
      <c r="F64" s="3" t="s">
        <v>73</v>
      </c>
      <c r="G64" s="0" t="n">
        <v>29</v>
      </c>
      <c r="H64" s="4" t="n">
        <v>18.61</v>
      </c>
      <c r="I64" s="0" t="n">
        <v>20</v>
      </c>
      <c r="J64" s="3" t="s">
        <v>40</v>
      </c>
    </row>
    <row r="65" customFormat="false" ht="14.25" hidden="false" customHeight="false" outlineLevel="0" collapsed="false">
      <c r="A65" s="0" t="s">
        <v>110</v>
      </c>
      <c r="B65" s="2" t="n">
        <v>45338</v>
      </c>
      <c r="C65" s="3" t="s">
        <v>21</v>
      </c>
      <c r="D65" s="3" t="s">
        <v>22</v>
      </c>
      <c r="E65" s="3" t="s">
        <v>44</v>
      </c>
      <c r="F65" s="3" t="s">
        <v>50</v>
      </c>
      <c r="G65" s="0" t="n">
        <v>48</v>
      </c>
      <c r="H65" s="4" t="n">
        <v>718.99</v>
      </c>
      <c r="I65" s="0" t="n">
        <v>0</v>
      </c>
      <c r="J65" s="3" t="s">
        <v>15</v>
      </c>
    </row>
    <row r="66" customFormat="false" ht="14.25" hidden="false" customHeight="false" outlineLevel="0" collapsed="false">
      <c r="A66" s="0" t="s">
        <v>111</v>
      </c>
      <c r="B66" s="2" t="n">
        <v>45478</v>
      </c>
      <c r="C66" s="3" t="s">
        <v>43</v>
      </c>
      <c r="D66" s="3" t="s">
        <v>12</v>
      </c>
      <c r="E66" s="3" t="s">
        <v>23</v>
      </c>
      <c r="F66" s="3" t="s">
        <v>24</v>
      </c>
      <c r="G66" s="0" t="n">
        <v>36</v>
      </c>
      <c r="H66" s="4" t="n">
        <v>816.61</v>
      </c>
      <c r="I66" s="0" t="n">
        <v>15</v>
      </c>
      <c r="J66" s="3" t="s">
        <v>19</v>
      </c>
    </row>
    <row r="67" customFormat="false" ht="14.25" hidden="false" customHeight="false" outlineLevel="0" collapsed="false">
      <c r="A67" s="0" t="s">
        <v>112</v>
      </c>
      <c r="B67" s="2" t="n">
        <v>45435</v>
      </c>
      <c r="C67" s="3" t="s">
        <v>31</v>
      </c>
      <c r="D67" s="3" t="s">
        <v>12</v>
      </c>
      <c r="E67" s="3" t="s">
        <v>32</v>
      </c>
      <c r="F67" s="3" t="s">
        <v>69</v>
      </c>
      <c r="G67" s="0" t="n">
        <v>28</v>
      </c>
      <c r="H67" s="4" t="n">
        <v>107.59</v>
      </c>
      <c r="I67" s="0" t="n">
        <v>15</v>
      </c>
      <c r="J67" s="3" t="s">
        <v>15</v>
      </c>
    </row>
    <row r="68" customFormat="false" ht="14.25" hidden="false" customHeight="false" outlineLevel="0" collapsed="false">
      <c r="A68" s="0" t="s">
        <v>113</v>
      </c>
      <c r="B68" s="2" t="n">
        <v>45320</v>
      </c>
      <c r="C68" s="3" t="s">
        <v>11</v>
      </c>
      <c r="D68" s="3" t="s">
        <v>12</v>
      </c>
      <c r="E68" s="3" t="s">
        <v>44</v>
      </c>
      <c r="F68" s="3" t="s">
        <v>58</v>
      </c>
      <c r="G68" s="0" t="n">
        <v>40</v>
      </c>
      <c r="H68" s="4" t="n">
        <v>255.52</v>
      </c>
      <c r="I68" s="0" t="n">
        <v>5</v>
      </c>
      <c r="J68" s="3" t="s">
        <v>40</v>
      </c>
    </row>
    <row r="69" customFormat="false" ht="14.25" hidden="false" customHeight="false" outlineLevel="0" collapsed="false">
      <c r="A69" s="0" t="s">
        <v>114</v>
      </c>
      <c r="B69" s="2" t="n">
        <v>45354</v>
      </c>
      <c r="C69" s="3" t="s">
        <v>31</v>
      </c>
      <c r="D69" s="3" t="s">
        <v>12</v>
      </c>
      <c r="E69" s="3" t="s">
        <v>44</v>
      </c>
      <c r="F69" s="3" t="s">
        <v>58</v>
      </c>
      <c r="G69" s="0" t="n">
        <v>12</v>
      </c>
      <c r="H69" s="4" t="n">
        <v>494.23</v>
      </c>
      <c r="I69" s="0" t="n">
        <v>10</v>
      </c>
      <c r="J69" s="3" t="s">
        <v>40</v>
      </c>
    </row>
    <row r="70" customFormat="false" ht="14.25" hidden="false" customHeight="false" outlineLevel="0" collapsed="false">
      <c r="A70" s="0" t="s">
        <v>115</v>
      </c>
      <c r="B70" s="2" t="n">
        <v>45416</v>
      </c>
      <c r="C70" s="3" t="s">
        <v>43</v>
      </c>
      <c r="D70" s="3" t="s">
        <v>29</v>
      </c>
      <c r="E70" s="3" t="s">
        <v>44</v>
      </c>
      <c r="F70" s="3" t="s">
        <v>76</v>
      </c>
      <c r="G70" s="0" t="n">
        <v>5</v>
      </c>
      <c r="H70" s="4" t="n">
        <v>756.39</v>
      </c>
      <c r="I70" s="0" t="n">
        <v>15</v>
      </c>
      <c r="J70" s="3" t="s">
        <v>19</v>
      </c>
    </row>
    <row r="71" customFormat="false" ht="14.25" hidden="false" customHeight="false" outlineLevel="0" collapsed="false">
      <c r="A71" s="0" t="s">
        <v>116</v>
      </c>
      <c r="B71" s="2" t="n">
        <v>45408</v>
      </c>
      <c r="C71" s="3" t="s">
        <v>17</v>
      </c>
      <c r="D71" s="3" t="s">
        <v>22</v>
      </c>
      <c r="E71" s="3" t="s">
        <v>32</v>
      </c>
      <c r="F71" s="3" t="s">
        <v>33</v>
      </c>
      <c r="G71" s="0" t="n">
        <v>29</v>
      </c>
      <c r="H71" s="4" t="n">
        <v>33.55</v>
      </c>
      <c r="I71" s="0" t="n">
        <v>20</v>
      </c>
      <c r="J71" s="3" t="s">
        <v>40</v>
      </c>
    </row>
    <row r="72" customFormat="false" ht="14.25" hidden="false" customHeight="false" outlineLevel="0" collapsed="false">
      <c r="A72" s="0" t="s">
        <v>117</v>
      </c>
      <c r="B72" s="2" t="n">
        <v>45646</v>
      </c>
      <c r="C72" s="3" t="s">
        <v>17</v>
      </c>
      <c r="D72" s="3" t="s">
        <v>22</v>
      </c>
      <c r="E72" s="3" t="s">
        <v>23</v>
      </c>
      <c r="F72" s="3" t="s">
        <v>37</v>
      </c>
      <c r="G72" s="0" t="n">
        <v>1</v>
      </c>
      <c r="H72" s="4" t="n">
        <v>156.29</v>
      </c>
      <c r="I72" s="0" t="n">
        <v>5</v>
      </c>
      <c r="J72" s="3" t="s">
        <v>15</v>
      </c>
    </row>
    <row r="73" customFormat="false" ht="14.25" hidden="false" customHeight="false" outlineLevel="0" collapsed="false">
      <c r="A73" s="0" t="s">
        <v>118</v>
      </c>
      <c r="B73" s="2" t="n">
        <v>45306</v>
      </c>
      <c r="C73" s="3" t="s">
        <v>17</v>
      </c>
      <c r="D73" s="3" t="s">
        <v>22</v>
      </c>
      <c r="E73" s="3" t="s">
        <v>44</v>
      </c>
      <c r="F73" s="3" t="s">
        <v>47</v>
      </c>
      <c r="G73" s="0" t="n">
        <v>1</v>
      </c>
      <c r="H73" s="4" t="n">
        <v>787.56</v>
      </c>
      <c r="I73" s="0" t="n">
        <v>20</v>
      </c>
      <c r="J73" s="3" t="s">
        <v>40</v>
      </c>
    </row>
    <row r="74" customFormat="false" ht="14.25" hidden="false" customHeight="false" outlineLevel="0" collapsed="false">
      <c r="A74" s="0" t="s">
        <v>119</v>
      </c>
      <c r="B74" s="2" t="n">
        <v>45427</v>
      </c>
      <c r="C74" s="3" t="s">
        <v>17</v>
      </c>
      <c r="D74" s="3" t="s">
        <v>27</v>
      </c>
      <c r="E74" s="3" t="s">
        <v>23</v>
      </c>
      <c r="F74" s="3" t="s">
        <v>53</v>
      </c>
      <c r="G74" s="0" t="n">
        <v>4</v>
      </c>
      <c r="H74" s="4" t="n">
        <v>704.89</v>
      </c>
      <c r="I74" s="0" t="n">
        <v>10</v>
      </c>
      <c r="J74" s="3" t="s">
        <v>19</v>
      </c>
    </row>
    <row r="75" customFormat="false" ht="14.25" hidden="false" customHeight="false" outlineLevel="0" collapsed="false">
      <c r="A75" s="0" t="s">
        <v>120</v>
      </c>
      <c r="B75" s="2" t="n">
        <v>45636</v>
      </c>
      <c r="C75" s="3" t="s">
        <v>21</v>
      </c>
      <c r="D75" s="3" t="s">
        <v>29</v>
      </c>
      <c r="E75" s="3" t="s">
        <v>13</v>
      </c>
      <c r="F75" s="3" t="s">
        <v>64</v>
      </c>
      <c r="G75" s="0" t="n">
        <v>43</v>
      </c>
      <c r="H75" s="4" t="n">
        <v>50.62</v>
      </c>
      <c r="I75" s="0" t="n">
        <v>0</v>
      </c>
      <c r="J75" s="3" t="s">
        <v>40</v>
      </c>
    </row>
    <row r="76" customFormat="false" ht="14.25" hidden="false" customHeight="false" outlineLevel="0" collapsed="false">
      <c r="A76" s="0" t="s">
        <v>121</v>
      </c>
      <c r="B76" s="2" t="n">
        <v>45470</v>
      </c>
      <c r="C76" s="3" t="s">
        <v>31</v>
      </c>
      <c r="D76" s="3" t="s">
        <v>22</v>
      </c>
      <c r="E76" s="3" t="s">
        <v>13</v>
      </c>
      <c r="F76" s="3" t="s">
        <v>64</v>
      </c>
      <c r="G76" s="0" t="n">
        <v>26</v>
      </c>
      <c r="H76" s="4" t="n">
        <v>87.3</v>
      </c>
      <c r="I76" s="0" t="n">
        <v>15</v>
      </c>
      <c r="J76" s="3" t="s">
        <v>40</v>
      </c>
    </row>
    <row r="77" customFormat="false" ht="14.25" hidden="false" customHeight="false" outlineLevel="0" collapsed="false">
      <c r="A77" s="0" t="s">
        <v>122</v>
      </c>
      <c r="B77" s="2" t="n">
        <v>45642</v>
      </c>
      <c r="C77" s="3" t="s">
        <v>11</v>
      </c>
      <c r="D77" s="3" t="s">
        <v>27</v>
      </c>
      <c r="E77" s="3" t="s">
        <v>32</v>
      </c>
      <c r="F77" s="3" t="s">
        <v>62</v>
      </c>
      <c r="G77" s="0" t="n">
        <v>9</v>
      </c>
      <c r="H77" s="4" t="n">
        <v>35.97</v>
      </c>
      <c r="I77" s="0" t="n">
        <v>15</v>
      </c>
      <c r="J77" s="3" t="s">
        <v>19</v>
      </c>
    </row>
    <row r="78" customFormat="false" ht="14.25" hidden="false" customHeight="false" outlineLevel="0" collapsed="false">
      <c r="A78" s="0" t="s">
        <v>123</v>
      </c>
      <c r="B78" s="2" t="n">
        <v>45556</v>
      </c>
      <c r="C78" s="3" t="s">
        <v>11</v>
      </c>
      <c r="D78" s="3" t="s">
        <v>22</v>
      </c>
      <c r="E78" s="3" t="s">
        <v>13</v>
      </c>
      <c r="F78" s="3" t="s">
        <v>73</v>
      </c>
      <c r="G78" s="0" t="n">
        <v>7</v>
      </c>
      <c r="H78" s="4" t="n">
        <v>102.72</v>
      </c>
      <c r="I78" s="0" t="n">
        <v>5</v>
      </c>
      <c r="J78" s="3" t="s">
        <v>40</v>
      </c>
    </row>
    <row r="79" customFormat="false" ht="14.25" hidden="false" customHeight="false" outlineLevel="0" collapsed="false">
      <c r="A79" s="0" t="s">
        <v>124</v>
      </c>
      <c r="B79" s="2" t="n">
        <v>45575</v>
      </c>
      <c r="C79" s="3" t="s">
        <v>26</v>
      </c>
      <c r="D79" s="3" t="s">
        <v>29</v>
      </c>
      <c r="E79" s="3" t="s">
        <v>23</v>
      </c>
      <c r="F79" s="3" t="s">
        <v>53</v>
      </c>
      <c r="G79" s="0" t="n">
        <v>49</v>
      </c>
      <c r="H79" s="4" t="n">
        <v>277.49</v>
      </c>
      <c r="I79" s="0" t="n">
        <v>15</v>
      </c>
      <c r="J79" s="3" t="s">
        <v>15</v>
      </c>
    </row>
    <row r="80" customFormat="false" ht="14.25" hidden="false" customHeight="false" outlineLevel="0" collapsed="false">
      <c r="A80" s="0" t="s">
        <v>125</v>
      </c>
      <c r="B80" s="2" t="n">
        <v>45370</v>
      </c>
      <c r="C80" s="3" t="s">
        <v>26</v>
      </c>
      <c r="D80" s="3" t="s">
        <v>22</v>
      </c>
      <c r="E80" s="3" t="s">
        <v>32</v>
      </c>
      <c r="F80" s="3" t="s">
        <v>69</v>
      </c>
      <c r="G80" s="0" t="n">
        <v>21</v>
      </c>
      <c r="H80" s="4" t="n">
        <v>48.94</v>
      </c>
      <c r="I80" s="0" t="n">
        <v>5</v>
      </c>
      <c r="J80" s="3" t="s">
        <v>19</v>
      </c>
    </row>
    <row r="81" customFormat="false" ht="14.25" hidden="false" customHeight="false" outlineLevel="0" collapsed="false">
      <c r="A81" s="0" t="s">
        <v>126</v>
      </c>
      <c r="B81" s="2" t="n">
        <v>45594</v>
      </c>
      <c r="C81" s="3" t="s">
        <v>26</v>
      </c>
      <c r="D81" s="3" t="s">
        <v>12</v>
      </c>
      <c r="E81" s="3" t="s">
        <v>44</v>
      </c>
      <c r="F81" s="3" t="s">
        <v>45</v>
      </c>
      <c r="G81" s="0" t="n">
        <v>44</v>
      </c>
      <c r="H81" s="4" t="n">
        <v>213.32</v>
      </c>
      <c r="I81" s="0" t="n">
        <v>15</v>
      </c>
      <c r="J81" s="3" t="s">
        <v>15</v>
      </c>
    </row>
    <row r="82" customFormat="false" ht="14.25" hidden="false" customHeight="false" outlineLevel="0" collapsed="false">
      <c r="A82" s="0" t="s">
        <v>127</v>
      </c>
      <c r="B82" s="2" t="n">
        <v>45333</v>
      </c>
      <c r="C82" s="3" t="s">
        <v>26</v>
      </c>
      <c r="D82" s="3" t="s">
        <v>22</v>
      </c>
      <c r="E82" s="3" t="s">
        <v>13</v>
      </c>
      <c r="F82" s="3" t="s">
        <v>18</v>
      </c>
      <c r="G82" s="0" t="n">
        <v>43</v>
      </c>
      <c r="H82" s="4" t="n">
        <v>93.78</v>
      </c>
      <c r="I82" s="0" t="n">
        <v>10</v>
      </c>
      <c r="J82" s="3" t="s">
        <v>40</v>
      </c>
    </row>
    <row r="83" customFormat="false" ht="14.25" hidden="false" customHeight="false" outlineLevel="0" collapsed="false">
      <c r="A83" s="0" t="s">
        <v>128</v>
      </c>
      <c r="B83" s="2" t="n">
        <v>45624</v>
      </c>
      <c r="C83" s="3" t="s">
        <v>17</v>
      </c>
      <c r="D83" s="3" t="s">
        <v>27</v>
      </c>
      <c r="E83" s="3" t="s">
        <v>44</v>
      </c>
      <c r="F83" s="3" t="s">
        <v>58</v>
      </c>
      <c r="G83" s="0" t="n">
        <v>15</v>
      </c>
      <c r="H83" s="4" t="n">
        <v>116.46</v>
      </c>
      <c r="I83" s="0" t="n">
        <v>5</v>
      </c>
      <c r="J83" s="3" t="s">
        <v>40</v>
      </c>
    </row>
    <row r="84" customFormat="false" ht="14.25" hidden="false" customHeight="false" outlineLevel="0" collapsed="false">
      <c r="A84" s="0" t="s">
        <v>129</v>
      </c>
      <c r="B84" s="2" t="n">
        <v>45393</v>
      </c>
      <c r="C84" s="3" t="s">
        <v>21</v>
      </c>
      <c r="D84" s="3" t="s">
        <v>12</v>
      </c>
      <c r="E84" s="3" t="s">
        <v>44</v>
      </c>
      <c r="F84" s="3" t="s">
        <v>76</v>
      </c>
      <c r="G84" s="0" t="n">
        <v>9</v>
      </c>
      <c r="H84" s="4" t="n">
        <v>447.52</v>
      </c>
      <c r="I84" s="0" t="n">
        <v>10</v>
      </c>
      <c r="J84" s="3" t="s">
        <v>40</v>
      </c>
    </row>
    <row r="85" customFormat="false" ht="14.25" hidden="false" customHeight="false" outlineLevel="0" collapsed="false">
      <c r="A85" s="0" t="s">
        <v>130</v>
      </c>
      <c r="B85" s="2" t="n">
        <v>45649</v>
      </c>
      <c r="C85" s="3" t="s">
        <v>17</v>
      </c>
      <c r="D85" s="3" t="s">
        <v>29</v>
      </c>
      <c r="E85" s="3" t="s">
        <v>44</v>
      </c>
      <c r="F85" s="3" t="s">
        <v>76</v>
      </c>
      <c r="G85" s="0" t="n">
        <v>44</v>
      </c>
      <c r="H85" s="4" t="n">
        <v>587.53</v>
      </c>
      <c r="I85" s="0" t="n">
        <v>0</v>
      </c>
      <c r="J85" s="3" t="s">
        <v>15</v>
      </c>
    </row>
    <row r="86" customFormat="false" ht="14.25" hidden="false" customHeight="false" outlineLevel="0" collapsed="false">
      <c r="A86" s="0" t="s">
        <v>131</v>
      </c>
      <c r="B86" s="2" t="n">
        <v>45407</v>
      </c>
      <c r="C86" s="3" t="s">
        <v>11</v>
      </c>
      <c r="D86" s="3" t="s">
        <v>27</v>
      </c>
      <c r="E86" s="3" t="s">
        <v>23</v>
      </c>
      <c r="F86" s="3" t="s">
        <v>37</v>
      </c>
      <c r="G86" s="0" t="n">
        <v>23</v>
      </c>
      <c r="H86" s="4" t="n">
        <v>910.64</v>
      </c>
      <c r="I86" s="0" t="n">
        <v>20</v>
      </c>
      <c r="J86" s="3" t="s">
        <v>15</v>
      </c>
    </row>
    <row r="87" customFormat="false" ht="14.25" hidden="false" customHeight="false" outlineLevel="0" collapsed="false">
      <c r="A87" s="0" t="s">
        <v>132</v>
      </c>
      <c r="B87" s="2" t="n">
        <v>45335</v>
      </c>
      <c r="C87" s="3" t="s">
        <v>17</v>
      </c>
      <c r="D87" s="3" t="s">
        <v>22</v>
      </c>
      <c r="E87" s="3" t="s">
        <v>13</v>
      </c>
      <c r="F87" s="3" t="s">
        <v>18</v>
      </c>
      <c r="G87" s="0" t="n">
        <v>7</v>
      </c>
      <c r="H87" s="4" t="n">
        <v>112.63</v>
      </c>
      <c r="I87" s="0" t="n">
        <v>5</v>
      </c>
      <c r="J87" s="3" t="s">
        <v>15</v>
      </c>
    </row>
    <row r="88" customFormat="false" ht="14.25" hidden="false" customHeight="false" outlineLevel="0" collapsed="false">
      <c r="A88" s="0" t="s">
        <v>133</v>
      </c>
      <c r="B88" s="2" t="n">
        <v>45299</v>
      </c>
      <c r="C88" s="3" t="s">
        <v>21</v>
      </c>
      <c r="D88" s="3" t="s">
        <v>22</v>
      </c>
      <c r="E88" s="3" t="s">
        <v>23</v>
      </c>
      <c r="F88" s="3" t="s">
        <v>53</v>
      </c>
      <c r="G88" s="0" t="n">
        <v>43</v>
      </c>
      <c r="H88" s="4" t="n">
        <v>632.07</v>
      </c>
      <c r="I88" s="0" t="n">
        <v>20</v>
      </c>
      <c r="J88" s="3" t="s">
        <v>40</v>
      </c>
    </row>
    <row r="89" customFormat="false" ht="14.25" hidden="false" customHeight="false" outlineLevel="0" collapsed="false">
      <c r="A89" s="0" t="s">
        <v>134</v>
      </c>
      <c r="B89" s="2" t="n">
        <v>45442</v>
      </c>
      <c r="C89" s="3" t="s">
        <v>31</v>
      </c>
      <c r="D89" s="3" t="s">
        <v>27</v>
      </c>
      <c r="E89" s="3" t="s">
        <v>44</v>
      </c>
      <c r="F89" s="3" t="s">
        <v>76</v>
      </c>
      <c r="G89" s="0" t="n">
        <v>22</v>
      </c>
      <c r="H89" s="4" t="n">
        <v>535.78</v>
      </c>
      <c r="I89" s="0" t="n">
        <v>20</v>
      </c>
      <c r="J89" s="3" t="s">
        <v>40</v>
      </c>
    </row>
    <row r="90" customFormat="false" ht="14.25" hidden="false" customHeight="false" outlineLevel="0" collapsed="false">
      <c r="A90" s="0" t="s">
        <v>135</v>
      </c>
      <c r="B90" s="2" t="n">
        <v>45339</v>
      </c>
      <c r="C90" s="3" t="s">
        <v>17</v>
      </c>
      <c r="D90" s="3" t="s">
        <v>29</v>
      </c>
      <c r="E90" s="3" t="s">
        <v>32</v>
      </c>
      <c r="F90" s="3" t="s">
        <v>69</v>
      </c>
      <c r="G90" s="0" t="n">
        <v>17</v>
      </c>
      <c r="H90" s="4" t="n">
        <v>67.17</v>
      </c>
      <c r="I90" s="0" t="n">
        <v>5</v>
      </c>
      <c r="J90" s="3" t="s">
        <v>19</v>
      </c>
    </row>
    <row r="91" customFormat="false" ht="14.25" hidden="false" customHeight="false" outlineLevel="0" collapsed="false">
      <c r="A91" s="0" t="s">
        <v>136</v>
      </c>
      <c r="B91" s="2" t="n">
        <v>45605</v>
      </c>
      <c r="C91" s="3" t="s">
        <v>21</v>
      </c>
      <c r="D91" s="3" t="s">
        <v>12</v>
      </c>
      <c r="E91" s="3" t="s">
        <v>32</v>
      </c>
      <c r="F91" s="3" t="s">
        <v>39</v>
      </c>
      <c r="G91" s="0" t="n">
        <v>9</v>
      </c>
      <c r="H91" s="4" t="n">
        <v>100.28</v>
      </c>
      <c r="I91" s="0" t="n">
        <v>0</v>
      </c>
      <c r="J91" s="3" t="s">
        <v>40</v>
      </c>
    </row>
    <row r="92" customFormat="false" ht="14.25" hidden="false" customHeight="false" outlineLevel="0" collapsed="false">
      <c r="A92" s="0" t="s">
        <v>137</v>
      </c>
      <c r="B92" s="2" t="n">
        <v>45655</v>
      </c>
      <c r="C92" s="3" t="s">
        <v>17</v>
      </c>
      <c r="D92" s="3" t="s">
        <v>22</v>
      </c>
      <c r="E92" s="3" t="s">
        <v>32</v>
      </c>
      <c r="F92" s="3" t="s">
        <v>62</v>
      </c>
      <c r="G92" s="0" t="n">
        <v>44</v>
      </c>
      <c r="H92" s="4" t="n">
        <v>26.38</v>
      </c>
      <c r="I92" s="0" t="n">
        <v>20</v>
      </c>
      <c r="J92" s="3" t="s">
        <v>40</v>
      </c>
    </row>
    <row r="93" customFormat="false" ht="14.25" hidden="false" customHeight="false" outlineLevel="0" collapsed="false">
      <c r="A93" s="0" t="s">
        <v>138</v>
      </c>
      <c r="B93" s="2" t="n">
        <v>45523</v>
      </c>
      <c r="C93" s="3" t="s">
        <v>17</v>
      </c>
      <c r="D93" s="3" t="s">
        <v>12</v>
      </c>
      <c r="E93" s="3" t="s">
        <v>23</v>
      </c>
      <c r="F93" s="3" t="s">
        <v>53</v>
      </c>
      <c r="G93" s="0" t="n">
        <v>32</v>
      </c>
      <c r="H93" s="4" t="n">
        <v>918.53</v>
      </c>
      <c r="I93" s="0" t="n">
        <v>0</v>
      </c>
      <c r="J93" s="3" t="s">
        <v>19</v>
      </c>
    </row>
    <row r="94" customFormat="false" ht="14.25" hidden="false" customHeight="false" outlineLevel="0" collapsed="false">
      <c r="A94" s="0" t="s">
        <v>139</v>
      </c>
      <c r="B94" s="2" t="n">
        <v>45505</v>
      </c>
      <c r="C94" s="3" t="s">
        <v>17</v>
      </c>
      <c r="D94" s="3" t="s">
        <v>29</v>
      </c>
      <c r="E94" s="3" t="s">
        <v>32</v>
      </c>
      <c r="F94" s="3" t="s">
        <v>95</v>
      </c>
      <c r="G94" s="0" t="n">
        <v>3</v>
      </c>
      <c r="H94" s="4" t="n">
        <v>55.07</v>
      </c>
      <c r="I94" s="0" t="n">
        <v>10</v>
      </c>
      <c r="J94" s="3" t="s">
        <v>40</v>
      </c>
    </row>
    <row r="95" customFormat="false" ht="14.25" hidden="false" customHeight="false" outlineLevel="0" collapsed="false">
      <c r="A95" s="0" t="s">
        <v>140</v>
      </c>
      <c r="B95" s="2" t="n">
        <v>45548</v>
      </c>
      <c r="C95" s="3" t="s">
        <v>11</v>
      </c>
      <c r="D95" s="3" t="s">
        <v>22</v>
      </c>
      <c r="E95" s="3" t="s">
        <v>23</v>
      </c>
      <c r="F95" s="3" t="s">
        <v>37</v>
      </c>
      <c r="G95" s="0" t="n">
        <v>12</v>
      </c>
      <c r="H95" s="4" t="n">
        <v>1169.01</v>
      </c>
      <c r="I95" s="0" t="n">
        <v>15</v>
      </c>
      <c r="J95" s="3" t="s">
        <v>40</v>
      </c>
    </row>
    <row r="96" customFormat="false" ht="14.25" hidden="false" customHeight="false" outlineLevel="0" collapsed="false">
      <c r="A96" s="0" t="s">
        <v>141</v>
      </c>
      <c r="B96" s="2" t="n">
        <v>45586</v>
      </c>
      <c r="C96" s="3" t="s">
        <v>31</v>
      </c>
      <c r="D96" s="3" t="s">
        <v>29</v>
      </c>
      <c r="E96" s="3" t="s">
        <v>44</v>
      </c>
      <c r="F96" s="3" t="s">
        <v>50</v>
      </c>
      <c r="G96" s="0" t="n">
        <v>45</v>
      </c>
      <c r="H96" s="4" t="n">
        <v>301.78</v>
      </c>
      <c r="I96" s="0" t="n">
        <v>20</v>
      </c>
      <c r="J96" s="3" t="s">
        <v>19</v>
      </c>
    </row>
    <row r="97" customFormat="false" ht="14.25" hidden="false" customHeight="false" outlineLevel="0" collapsed="false">
      <c r="A97" s="0" t="s">
        <v>142</v>
      </c>
      <c r="B97" s="2" t="n">
        <v>45325</v>
      </c>
      <c r="C97" s="3" t="s">
        <v>11</v>
      </c>
      <c r="D97" s="3" t="s">
        <v>27</v>
      </c>
      <c r="E97" s="3" t="s">
        <v>32</v>
      </c>
      <c r="F97" s="3" t="s">
        <v>62</v>
      </c>
      <c r="G97" s="0" t="n">
        <v>1</v>
      </c>
      <c r="H97" s="4" t="n">
        <v>109.73</v>
      </c>
      <c r="I97" s="0" t="n">
        <v>5</v>
      </c>
      <c r="J97" s="3" t="s">
        <v>19</v>
      </c>
    </row>
    <row r="98" customFormat="false" ht="14.25" hidden="false" customHeight="false" outlineLevel="0" collapsed="false">
      <c r="A98" s="0" t="s">
        <v>143</v>
      </c>
      <c r="B98" s="2" t="n">
        <v>45375</v>
      </c>
      <c r="C98" s="3" t="s">
        <v>17</v>
      </c>
      <c r="D98" s="3" t="s">
        <v>12</v>
      </c>
      <c r="E98" s="3" t="s">
        <v>32</v>
      </c>
      <c r="F98" s="3" t="s">
        <v>62</v>
      </c>
      <c r="G98" s="0" t="n">
        <v>8</v>
      </c>
      <c r="H98" s="4" t="n">
        <v>37.42</v>
      </c>
      <c r="I98" s="0" t="n">
        <v>10</v>
      </c>
      <c r="J98" s="3" t="s">
        <v>40</v>
      </c>
    </row>
    <row r="99" customFormat="false" ht="14.25" hidden="false" customHeight="false" outlineLevel="0" collapsed="false">
      <c r="A99" s="0" t="s">
        <v>144</v>
      </c>
      <c r="B99" s="2" t="n">
        <v>45614</v>
      </c>
      <c r="C99" s="3" t="s">
        <v>21</v>
      </c>
      <c r="D99" s="3" t="s">
        <v>22</v>
      </c>
      <c r="E99" s="3" t="s">
        <v>32</v>
      </c>
      <c r="F99" s="3" t="s">
        <v>69</v>
      </c>
      <c r="G99" s="0" t="n">
        <v>47</v>
      </c>
      <c r="H99" s="4" t="n">
        <v>65.48</v>
      </c>
      <c r="I99" s="0" t="n">
        <v>5</v>
      </c>
      <c r="J99" s="3" t="s">
        <v>19</v>
      </c>
    </row>
    <row r="100" customFormat="false" ht="14.25" hidden="false" customHeight="false" outlineLevel="0" collapsed="false">
      <c r="A100" s="0" t="s">
        <v>145</v>
      </c>
      <c r="B100" s="2" t="n">
        <v>45609</v>
      </c>
      <c r="C100" s="3" t="s">
        <v>11</v>
      </c>
      <c r="D100" s="3" t="s">
        <v>12</v>
      </c>
      <c r="E100" s="3" t="s">
        <v>13</v>
      </c>
      <c r="F100" s="3" t="s">
        <v>73</v>
      </c>
      <c r="G100" s="0" t="n">
        <v>18</v>
      </c>
      <c r="H100" s="4" t="n">
        <v>19.01</v>
      </c>
      <c r="I100" s="0" t="n">
        <v>15</v>
      </c>
      <c r="J100" s="3" t="s">
        <v>40</v>
      </c>
    </row>
    <row r="101" customFormat="false" ht="14.25" hidden="false" customHeight="false" outlineLevel="0" collapsed="false">
      <c r="A101" s="0" t="s">
        <v>146</v>
      </c>
      <c r="B101" s="2" t="n">
        <v>45342</v>
      </c>
      <c r="C101" s="3" t="s">
        <v>17</v>
      </c>
      <c r="D101" s="3" t="s">
        <v>29</v>
      </c>
      <c r="E101" s="3" t="s">
        <v>13</v>
      </c>
      <c r="F101" s="3" t="s">
        <v>14</v>
      </c>
      <c r="G101" s="0" t="n">
        <v>4</v>
      </c>
      <c r="H101" s="4" t="n">
        <v>122.68</v>
      </c>
      <c r="I101" s="0" t="n">
        <v>15</v>
      </c>
      <c r="J101" s="3" t="s">
        <v>40</v>
      </c>
    </row>
    <row r="102" customFormat="false" ht="14.25" hidden="false" customHeight="false" outlineLevel="0" collapsed="false">
      <c r="A102" s="0" t="s">
        <v>147</v>
      </c>
      <c r="B102" s="2" t="n">
        <v>45548</v>
      </c>
      <c r="C102" s="3" t="s">
        <v>11</v>
      </c>
      <c r="D102" s="3" t="s">
        <v>12</v>
      </c>
      <c r="E102" s="3" t="s">
        <v>44</v>
      </c>
      <c r="F102" s="3" t="s">
        <v>58</v>
      </c>
      <c r="G102" s="0" t="n">
        <v>25</v>
      </c>
      <c r="H102" s="4" t="n">
        <v>351.93</v>
      </c>
      <c r="I102" s="0" t="n">
        <v>5</v>
      </c>
      <c r="J102" s="3" t="s">
        <v>15</v>
      </c>
    </row>
    <row r="103" customFormat="false" ht="14.25" hidden="false" customHeight="false" outlineLevel="0" collapsed="false">
      <c r="A103" s="0" t="s">
        <v>148</v>
      </c>
      <c r="B103" s="2" t="n">
        <v>45602</v>
      </c>
      <c r="C103" s="3" t="s">
        <v>11</v>
      </c>
      <c r="D103" s="3" t="s">
        <v>22</v>
      </c>
      <c r="E103" s="3" t="s">
        <v>23</v>
      </c>
      <c r="F103" s="3" t="s">
        <v>53</v>
      </c>
      <c r="G103" s="0" t="n">
        <v>33</v>
      </c>
      <c r="H103" s="4" t="n">
        <v>490.88</v>
      </c>
      <c r="I103" s="0" t="n">
        <v>15</v>
      </c>
      <c r="J103" s="3" t="s">
        <v>40</v>
      </c>
    </row>
    <row r="104" customFormat="false" ht="14.25" hidden="false" customHeight="false" outlineLevel="0" collapsed="false">
      <c r="A104" s="0" t="s">
        <v>149</v>
      </c>
      <c r="B104" s="2" t="n">
        <v>45367</v>
      </c>
      <c r="C104" s="3" t="s">
        <v>21</v>
      </c>
      <c r="D104" s="3" t="s">
        <v>29</v>
      </c>
      <c r="E104" s="3" t="s">
        <v>32</v>
      </c>
      <c r="F104" s="3" t="s">
        <v>33</v>
      </c>
      <c r="G104" s="0" t="n">
        <v>43</v>
      </c>
      <c r="H104" s="4" t="n">
        <v>28.01</v>
      </c>
      <c r="I104" s="0" t="n">
        <v>20</v>
      </c>
      <c r="J104" s="3" t="s">
        <v>40</v>
      </c>
    </row>
    <row r="105" customFormat="false" ht="14.25" hidden="false" customHeight="false" outlineLevel="0" collapsed="false">
      <c r="A105" s="0" t="s">
        <v>150</v>
      </c>
      <c r="B105" s="2" t="n">
        <v>45507</v>
      </c>
      <c r="C105" s="3" t="s">
        <v>17</v>
      </c>
      <c r="D105" s="3" t="s">
        <v>27</v>
      </c>
      <c r="E105" s="3" t="s">
        <v>44</v>
      </c>
      <c r="F105" s="3" t="s">
        <v>76</v>
      </c>
      <c r="G105" s="0" t="n">
        <v>47</v>
      </c>
      <c r="H105" s="4" t="n">
        <v>672.07</v>
      </c>
      <c r="I105" s="0" t="n">
        <v>5</v>
      </c>
      <c r="J105" s="3" t="s">
        <v>15</v>
      </c>
    </row>
    <row r="106" customFormat="false" ht="14.25" hidden="false" customHeight="false" outlineLevel="0" collapsed="false">
      <c r="A106" s="0" t="s">
        <v>151</v>
      </c>
      <c r="B106" s="2" t="n">
        <v>45655</v>
      </c>
      <c r="C106" s="3" t="s">
        <v>31</v>
      </c>
      <c r="D106" s="3" t="s">
        <v>29</v>
      </c>
      <c r="E106" s="3" t="s">
        <v>13</v>
      </c>
      <c r="F106" s="3" t="s">
        <v>92</v>
      </c>
      <c r="G106" s="0" t="n">
        <v>35</v>
      </c>
      <c r="H106" s="4" t="n">
        <v>129.92</v>
      </c>
      <c r="I106" s="0" t="n">
        <v>5</v>
      </c>
      <c r="J106" s="3" t="s">
        <v>19</v>
      </c>
    </row>
    <row r="107" customFormat="false" ht="14.25" hidden="false" customHeight="false" outlineLevel="0" collapsed="false">
      <c r="A107" s="0" t="s">
        <v>152</v>
      </c>
      <c r="B107" s="2" t="n">
        <v>45642</v>
      </c>
      <c r="C107" s="3" t="s">
        <v>43</v>
      </c>
      <c r="D107" s="3" t="s">
        <v>29</v>
      </c>
      <c r="E107" s="3" t="s">
        <v>32</v>
      </c>
      <c r="F107" s="3" t="s">
        <v>62</v>
      </c>
      <c r="G107" s="0" t="n">
        <v>11</v>
      </c>
      <c r="H107" s="4" t="n">
        <v>100.13</v>
      </c>
      <c r="I107" s="0" t="n">
        <v>10</v>
      </c>
      <c r="J107" s="3" t="s">
        <v>19</v>
      </c>
    </row>
    <row r="108" customFormat="false" ht="14.25" hidden="false" customHeight="false" outlineLevel="0" collapsed="false">
      <c r="A108" s="0" t="s">
        <v>153</v>
      </c>
      <c r="B108" s="2" t="n">
        <v>45391</v>
      </c>
      <c r="C108" s="3" t="s">
        <v>17</v>
      </c>
      <c r="D108" s="3" t="s">
        <v>12</v>
      </c>
      <c r="E108" s="3" t="s">
        <v>44</v>
      </c>
      <c r="F108" s="3" t="s">
        <v>58</v>
      </c>
      <c r="G108" s="0" t="n">
        <v>15</v>
      </c>
      <c r="H108" s="4" t="n">
        <v>651.08</v>
      </c>
      <c r="I108" s="0" t="n">
        <v>0</v>
      </c>
      <c r="J108" s="3" t="s">
        <v>19</v>
      </c>
    </row>
    <row r="109" customFormat="false" ht="14.25" hidden="false" customHeight="false" outlineLevel="0" collapsed="false">
      <c r="A109" s="0" t="s">
        <v>154</v>
      </c>
      <c r="B109" s="2" t="n">
        <v>45645</v>
      </c>
      <c r="C109" s="3" t="s">
        <v>26</v>
      </c>
      <c r="D109" s="3" t="s">
        <v>29</v>
      </c>
      <c r="E109" s="3" t="s">
        <v>13</v>
      </c>
      <c r="F109" s="3" t="s">
        <v>92</v>
      </c>
      <c r="G109" s="0" t="n">
        <v>30</v>
      </c>
      <c r="H109" s="4" t="n">
        <v>103.57</v>
      </c>
      <c r="I109" s="0" t="n">
        <v>10</v>
      </c>
      <c r="J109" s="3" t="s">
        <v>40</v>
      </c>
    </row>
    <row r="110" customFormat="false" ht="14.25" hidden="false" customHeight="false" outlineLevel="0" collapsed="false">
      <c r="A110" s="0" t="s">
        <v>155</v>
      </c>
      <c r="B110" s="2" t="n">
        <v>45465</v>
      </c>
      <c r="C110" s="3" t="s">
        <v>11</v>
      </c>
      <c r="D110" s="3" t="s">
        <v>27</v>
      </c>
      <c r="E110" s="3" t="s">
        <v>44</v>
      </c>
      <c r="F110" s="3" t="s">
        <v>76</v>
      </c>
      <c r="G110" s="0" t="n">
        <v>50</v>
      </c>
      <c r="H110" s="4" t="n">
        <v>781.47</v>
      </c>
      <c r="I110" s="0" t="n">
        <v>0</v>
      </c>
      <c r="J110" s="3" t="s">
        <v>15</v>
      </c>
    </row>
    <row r="111" customFormat="false" ht="14.25" hidden="false" customHeight="false" outlineLevel="0" collapsed="false">
      <c r="A111" s="0" t="s">
        <v>156</v>
      </c>
      <c r="B111" s="2" t="n">
        <v>45548</v>
      </c>
      <c r="C111" s="3" t="s">
        <v>31</v>
      </c>
      <c r="D111" s="3" t="s">
        <v>22</v>
      </c>
      <c r="E111" s="3" t="s">
        <v>23</v>
      </c>
      <c r="F111" s="3" t="s">
        <v>37</v>
      </c>
      <c r="G111" s="0" t="n">
        <v>17</v>
      </c>
      <c r="H111" s="4" t="n">
        <v>553.95</v>
      </c>
      <c r="I111" s="0" t="n">
        <v>15</v>
      </c>
      <c r="J111" s="3" t="s">
        <v>40</v>
      </c>
    </row>
    <row r="112" customFormat="false" ht="14.25" hidden="false" customHeight="false" outlineLevel="0" collapsed="false">
      <c r="A112" s="0" t="s">
        <v>157</v>
      </c>
      <c r="B112" s="2" t="n">
        <v>45412</v>
      </c>
      <c r="C112" s="3" t="s">
        <v>21</v>
      </c>
      <c r="D112" s="3" t="s">
        <v>29</v>
      </c>
      <c r="E112" s="3" t="s">
        <v>44</v>
      </c>
      <c r="F112" s="3" t="s">
        <v>58</v>
      </c>
      <c r="G112" s="0" t="n">
        <v>16</v>
      </c>
      <c r="H112" s="4" t="n">
        <v>692.83</v>
      </c>
      <c r="I112" s="0" t="n">
        <v>15</v>
      </c>
      <c r="J112" s="3" t="s">
        <v>40</v>
      </c>
    </row>
    <row r="113" customFormat="false" ht="14.25" hidden="false" customHeight="false" outlineLevel="0" collapsed="false">
      <c r="A113" s="0" t="s">
        <v>158</v>
      </c>
      <c r="B113" s="2" t="n">
        <v>45364</v>
      </c>
      <c r="C113" s="3" t="s">
        <v>26</v>
      </c>
      <c r="D113" s="3" t="s">
        <v>12</v>
      </c>
      <c r="E113" s="3" t="s">
        <v>32</v>
      </c>
      <c r="F113" s="3" t="s">
        <v>95</v>
      </c>
      <c r="G113" s="0" t="n">
        <v>35</v>
      </c>
      <c r="H113" s="4" t="n">
        <v>115.08</v>
      </c>
      <c r="I113" s="0" t="n">
        <v>10</v>
      </c>
      <c r="J113" s="3" t="s">
        <v>19</v>
      </c>
    </row>
    <row r="114" customFormat="false" ht="14.25" hidden="false" customHeight="false" outlineLevel="0" collapsed="false">
      <c r="A114" s="0" t="s">
        <v>159</v>
      </c>
      <c r="B114" s="2" t="n">
        <v>45430</v>
      </c>
      <c r="C114" s="3" t="s">
        <v>43</v>
      </c>
      <c r="D114" s="3" t="s">
        <v>27</v>
      </c>
      <c r="E114" s="3" t="s">
        <v>44</v>
      </c>
      <c r="F114" s="3" t="s">
        <v>47</v>
      </c>
      <c r="G114" s="0" t="n">
        <v>22</v>
      </c>
      <c r="H114" s="4" t="n">
        <v>349.77</v>
      </c>
      <c r="I114" s="0" t="n">
        <v>5</v>
      </c>
      <c r="J114" s="3" t="s">
        <v>19</v>
      </c>
    </row>
    <row r="115" customFormat="false" ht="14.25" hidden="false" customHeight="false" outlineLevel="0" collapsed="false">
      <c r="A115" s="0" t="s">
        <v>160</v>
      </c>
      <c r="B115" s="2" t="n">
        <v>45439</v>
      </c>
      <c r="C115" s="3" t="s">
        <v>26</v>
      </c>
      <c r="D115" s="3" t="s">
        <v>12</v>
      </c>
      <c r="E115" s="3" t="s">
        <v>44</v>
      </c>
      <c r="F115" s="3" t="s">
        <v>58</v>
      </c>
      <c r="G115" s="0" t="n">
        <v>30</v>
      </c>
      <c r="H115" s="4" t="n">
        <v>726.04</v>
      </c>
      <c r="I115" s="0" t="n">
        <v>10</v>
      </c>
      <c r="J115" s="3" t="s">
        <v>15</v>
      </c>
    </row>
    <row r="116" customFormat="false" ht="14.25" hidden="false" customHeight="false" outlineLevel="0" collapsed="false">
      <c r="A116" s="0" t="s">
        <v>161</v>
      </c>
      <c r="B116" s="2" t="n">
        <v>45463</v>
      </c>
      <c r="C116" s="3" t="s">
        <v>21</v>
      </c>
      <c r="D116" s="3" t="s">
        <v>12</v>
      </c>
      <c r="E116" s="3" t="s">
        <v>44</v>
      </c>
      <c r="F116" s="3" t="s">
        <v>76</v>
      </c>
      <c r="G116" s="0" t="n">
        <v>9</v>
      </c>
      <c r="H116" s="4" t="n">
        <v>75.48</v>
      </c>
      <c r="I116" s="0" t="n">
        <v>10</v>
      </c>
      <c r="J116" s="3" t="s">
        <v>40</v>
      </c>
    </row>
    <row r="117" customFormat="false" ht="14.25" hidden="false" customHeight="false" outlineLevel="0" collapsed="false">
      <c r="A117" s="0" t="s">
        <v>162</v>
      </c>
      <c r="B117" s="2" t="n">
        <v>45561</v>
      </c>
      <c r="C117" s="3" t="s">
        <v>43</v>
      </c>
      <c r="D117" s="3" t="s">
        <v>12</v>
      </c>
      <c r="E117" s="3" t="s">
        <v>13</v>
      </c>
      <c r="F117" s="3" t="s">
        <v>64</v>
      </c>
      <c r="G117" s="0" t="n">
        <v>14</v>
      </c>
      <c r="H117" s="4" t="n">
        <v>138.06</v>
      </c>
      <c r="I117" s="0" t="n">
        <v>5</v>
      </c>
      <c r="J117" s="3" t="s">
        <v>19</v>
      </c>
    </row>
    <row r="118" customFormat="false" ht="14.25" hidden="false" customHeight="false" outlineLevel="0" collapsed="false">
      <c r="A118" s="0" t="s">
        <v>163</v>
      </c>
      <c r="B118" s="2" t="n">
        <v>45310</v>
      </c>
      <c r="C118" s="3" t="s">
        <v>43</v>
      </c>
      <c r="D118" s="3" t="s">
        <v>22</v>
      </c>
      <c r="E118" s="3" t="s">
        <v>32</v>
      </c>
      <c r="F118" s="3" t="s">
        <v>33</v>
      </c>
      <c r="G118" s="0" t="n">
        <v>35</v>
      </c>
      <c r="H118" s="4" t="n">
        <v>39.72</v>
      </c>
      <c r="I118" s="0" t="n">
        <v>10</v>
      </c>
      <c r="J118" s="3" t="s">
        <v>15</v>
      </c>
    </row>
    <row r="119" customFormat="false" ht="14.25" hidden="false" customHeight="false" outlineLevel="0" collapsed="false">
      <c r="A119" s="0" t="s">
        <v>164</v>
      </c>
      <c r="B119" s="2" t="n">
        <v>45324</v>
      </c>
      <c r="C119" s="3" t="s">
        <v>21</v>
      </c>
      <c r="D119" s="3" t="s">
        <v>27</v>
      </c>
      <c r="E119" s="3" t="s">
        <v>23</v>
      </c>
      <c r="F119" s="3" t="s">
        <v>82</v>
      </c>
      <c r="G119" s="0" t="n">
        <v>25</v>
      </c>
      <c r="H119" s="4" t="n">
        <v>388.83</v>
      </c>
      <c r="I119" s="0" t="n">
        <v>15</v>
      </c>
      <c r="J119" s="3" t="s">
        <v>40</v>
      </c>
    </row>
    <row r="120" customFormat="false" ht="14.25" hidden="false" customHeight="false" outlineLevel="0" collapsed="false">
      <c r="A120" s="0" t="s">
        <v>165</v>
      </c>
      <c r="B120" s="2" t="n">
        <v>45446</v>
      </c>
      <c r="C120" s="3" t="s">
        <v>21</v>
      </c>
      <c r="D120" s="3" t="s">
        <v>27</v>
      </c>
      <c r="E120" s="3" t="s">
        <v>44</v>
      </c>
      <c r="F120" s="3" t="s">
        <v>45</v>
      </c>
      <c r="G120" s="0" t="n">
        <v>28</v>
      </c>
      <c r="H120" s="4" t="n">
        <v>299.37</v>
      </c>
      <c r="I120" s="0" t="n">
        <v>0</v>
      </c>
      <c r="J120" s="3" t="s">
        <v>40</v>
      </c>
    </row>
    <row r="121" customFormat="false" ht="14.25" hidden="false" customHeight="false" outlineLevel="0" collapsed="false">
      <c r="A121" s="0" t="s">
        <v>166</v>
      </c>
      <c r="B121" s="2" t="n">
        <v>45647</v>
      </c>
      <c r="C121" s="3" t="s">
        <v>26</v>
      </c>
      <c r="D121" s="3" t="s">
        <v>12</v>
      </c>
      <c r="E121" s="3" t="s">
        <v>44</v>
      </c>
      <c r="F121" s="3" t="s">
        <v>47</v>
      </c>
      <c r="G121" s="0" t="n">
        <v>9</v>
      </c>
      <c r="H121" s="4" t="n">
        <v>716.5</v>
      </c>
      <c r="I121" s="0" t="n">
        <v>20</v>
      </c>
      <c r="J121" s="3" t="s">
        <v>40</v>
      </c>
    </row>
    <row r="122" customFormat="false" ht="14.25" hidden="false" customHeight="false" outlineLevel="0" collapsed="false">
      <c r="A122" s="0" t="s">
        <v>167</v>
      </c>
      <c r="B122" s="2" t="n">
        <v>45598</v>
      </c>
      <c r="C122" s="3" t="s">
        <v>26</v>
      </c>
      <c r="D122" s="3" t="s">
        <v>27</v>
      </c>
      <c r="E122" s="3" t="s">
        <v>44</v>
      </c>
      <c r="F122" s="3" t="s">
        <v>76</v>
      </c>
      <c r="G122" s="0" t="n">
        <v>7</v>
      </c>
      <c r="H122" s="4" t="n">
        <v>111.27</v>
      </c>
      <c r="I122" s="0" t="n">
        <v>5</v>
      </c>
      <c r="J122" s="3" t="s">
        <v>19</v>
      </c>
    </row>
    <row r="123" customFormat="false" ht="14.25" hidden="false" customHeight="false" outlineLevel="0" collapsed="false">
      <c r="A123" s="0" t="s">
        <v>168</v>
      </c>
      <c r="B123" s="2" t="n">
        <v>45623</v>
      </c>
      <c r="C123" s="3" t="s">
        <v>17</v>
      </c>
      <c r="D123" s="3" t="s">
        <v>22</v>
      </c>
      <c r="E123" s="3" t="s">
        <v>44</v>
      </c>
      <c r="F123" s="3" t="s">
        <v>45</v>
      </c>
      <c r="G123" s="0" t="n">
        <v>23</v>
      </c>
      <c r="H123" s="4" t="n">
        <v>133.05</v>
      </c>
      <c r="I123" s="0" t="n">
        <v>0</v>
      </c>
      <c r="J123" s="3" t="s">
        <v>19</v>
      </c>
    </row>
    <row r="124" customFormat="false" ht="14.25" hidden="false" customHeight="false" outlineLevel="0" collapsed="false">
      <c r="A124" s="0" t="s">
        <v>169</v>
      </c>
      <c r="B124" s="2" t="n">
        <v>45359</v>
      </c>
      <c r="C124" s="3" t="s">
        <v>11</v>
      </c>
      <c r="D124" s="3" t="s">
        <v>22</v>
      </c>
      <c r="E124" s="3" t="s">
        <v>44</v>
      </c>
      <c r="F124" s="3" t="s">
        <v>45</v>
      </c>
      <c r="G124" s="0" t="n">
        <v>46</v>
      </c>
      <c r="H124" s="4" t="n">
        <v>573.12</v>
      </c>
      <c r="I124" s="0" t="n">
        <v>5</v>
      </c>
      <c r="J124" s="3" t="s">
        <v>40</v>
      </c>
    </row>
    <row r="125" customFormat="false" ht="14.25" hidden="false" customHeight="false" outlineLevel="0" collapsed="false">
      <c r="A125" s="0" t="s">
        <v>170</v>
      </c>
      <c r="B125" s="2" t="n">
        <v>45508</v>
      </c>
      <c r="C125" s="3" t="s">
        <v>26</v>
      </c>
      <c r="D125" s="3" t="s">
        <v>29</v>
      </c>
      <c r="E125" s="3" t="s">
        <v>32</v>
      </c>
      <c r="F125" s="3" t="s">
        <v>33</v>
      </c>
      <c r="G125" s="0" t="n">
        <v>31</v>
      </c>
      <c r="H125" s="4" t="n">
        <v>69.27</v>
      </c>
      <c r="I125" s="0" t="n">
        <v>15</v>
      </c>
      <c r="J125" s="3" t="s">
        <v>19</v>
      </c>
    </row>
    <row r="126" customFormat="false" ht="14.25" hidden="false" customHeight="false" outlineLevel="0" collapsed="false">
      <c r="A126" s="0" t="s">
        <v>171</v>
      </c>
      <c r="B126" s="2" t="n">
        <v>45616</v>
      </c>
      <c r="C126" s="3" t="s">
        <v>21</v>
      </c>
      <c r="D126" s="3" t="s">
        <v>22</v>
      </c>
      <c r="E126" s="3" t="s">
        <v>44</v>
      </c>
      <c r="F126" s="3" t="s">
        <v>45</v>
      </c>
      <c r="G126" s="0" t="n">
        <v>22</v>
      </c>
      <c r="H126" s="4" t="n">
        <v>97</v>
      </c>
      <c r="I126" s="0" t="n">
        <v>0</v>
      </c>
      <c r="J126" s="3" t="s">
        <v>15</v>
      </c>
    </row>
    <row r="127" customFormat="false" ht="14.25" hidden="false" customHeight="false" outlineLevel="0" collapsed="false">
      <c r="A127" s="0" t="s">
        <v>172</v>
      </c>
      <c r="B127" s="2" t="n">
        <v>45344</v>
      </c>
      <c r="C127" s="3" t="s">
        <v>17</v>
      </c>
      <c r="D127" s="3" t="s">
        <v>29</v>
      </c>
      <c r="E127" s="3" t="s">
        <v>44</v>
      </c>
      <c r="F127" s="3" t="s">
        <v>50</v>
      </c>
      <c r="G127" s="0" t="n">
        <v>7</v>
      </c>
      <c r="H127" s="4" t="n">
        <v>564.84</v>
      </c>
      <c r="I127" s="0" t="n">
        <v>5</v>
      </c>
      <c r="J127" s="3" t="s">
        <v>15</v>
      </c>
    </row>
    <row r="128" customFormat="false" ht="14.25" hidden="false" customHeight="false" outlineLevel="0" collapsed="false">
      <c r="A128" s="0" t="s">
        <v>173</v>
      </c>
      <c r="B128" s="2" t="n">
        <v>45593</v>
      </c>
      <c r="C128" s="3" t="s">
        <v>43</v>
      </c>
      <c r="D128" s="3" t="s">
        <v>12</v>
      </c>
      <c r="E128" s="3" t="s">
        <v>13</v>
      </c>
      <c r="F128" s="3" t="s">
        <v>92</v>
      </c>
      <c r="G128" s="0" t="n">
        <v>50</v>
      </c>
      <c r="H128" s="4" t="n">
        <v>16.29</v>
      </c>
      <c r="I128" s="0" t="n">
        <v>0</v>
      </c>
      <c r="J128" s="3" t="s">
        <v>15</v>
      </c>
    </row>
    <row r="129" customFormat="false" ht="14.25" hidden="false" customHeight="false" outlineLevel="0" collapsed="false">
      <c r="A129" s="0" t="s">
        <v>174</v>
      </c>
      <c r="B129" s="2" t="n">
        <v>45403</v>
      </c>
      <c r="C129" s="3" t="s">
        <v>11</v>
      </c>
      <c r="D129" s="3" t="s">
        <v>29</v>
      </c>
      <c r="E129" s="3" t="s">
        <v>44</v>
      </c>
      <c r="F129" s="3" t="s">
        <v>45</v>
      </c>
      <c r="G129" s="0" t="n">
        <v>11</v>
      </c>
      <c r="H129" s="4" t="n">
        <v>145.63</v>
      </c>
      <c r="I129" s="0" t="n">
        <v>5</v>
      </c>
      <c r="J129" s="3" t="s">
        <v>19</v>
      </c>
    </row>
    <row r="130" customFormat="false" ht="14.25" hidden="false" customHeight="false" outlineLevel="0" collapsed="false">
      <c r="A130" s="0" t="s">
        <v>175</v>
      </c>
      <c r="B130" s="2" t="n">
        <v>45319</v>
      </c>
      <c r="C130" s="3" t="s">
        <v>26</v>
      </c>
      <c r="D130" s="3" t="s">
        <v>27</v>
      </c>
      <c r="E130" s="3" t="s">
        <v>44</v>
      </c>
      <c r="F130" s="3" t="s">
        <v>45</v>
      </c>
      <c r="G130" s="0" t="n">
        <v>6</v>
      </c>
      <c r="H130" s="4" t="n">
        <v>146.81</v>
      </c>
      <c r="I130" s="0" t="n">
        <v>15</v>
      </c>
      <c r="J130" s="3" t="s">
        <v>19</v>
      </c>
    </row>
    <row r="131" customFormat="false" ht="14.25" hidden="false" customHeight="false" outlineLevel="0" collapsed="false">
      <c r="A131" s="0" t="s">
        <v>176</v>
      </c>
      <c r="B131" s="2" t="n">
        <v>45634</v>
      </c>
      <c r="C131" s="3" t="s">
        <v>21</v>
      </c>
      <c r="D131" s="3" t="s">
        <v>12</v>
      </c>
      <c r="E131" s="3" t="s">
        <v>23</v>
      </c>
      <c r="F131" s="3" t="s">
        <v>82</v>
      </c>
      <c r="G131" s="0" t="n">
        <v>45</v>
      </c>
      <c r="H131" s="4" t="n">
        <v>194.6</v>
      </c>
      <c r="I131" s="0" t="n">
        <v>20</v>
      </c>
      <c r="J131" s="3" t="s">
        <v>40</v>
      </c>
    </row>
    <row r="132" customFormat="false" ht="14.25" hidden="false" customHeight="false" outlineLevel="0" collapsed="false">
      <c r="A132" s="0" t="s">
        <v>177</v>
      </c>
      <c r="B132" s="2" t="n">
        <v>45469</v>
      </c>
      <c r="C132" s="3" t="s">
        <v>26</v>
      </c>
      <c r="D132" s="3" t="s">
        <v>22</v>
      </c>
      <c r="E132" s="3" t="s">
        <v>44</v>
      </c>
      <c r="F132" s="3" t="s">
        <v>47</v>
      </c>
      <c r="G132" s="0" t="n">
        <v>19</v>
      </c>
      <c r="H132" s="4" t="n">
        <v>708.53</v>
      </c>
      <c r="I132" s="0" t="n">
        <v>0</v>
      </c>
      <c r="J132" s="3" t="s">
        <v>19</v>
      </c>
    </row>
    <row r="133" customFormat="false" ht="14.25" hidden="false" customHeight="false" outlineLevel="0" collapsed="false">
      <c r="A133" s="0" t="s">
        <v>178</v>
      </c>
      <c r="B133" s="2" t="n">
        <v>45371</v>
      </c>
      <c r="C133" s="3" t="s">
        <v>26</v>
      </c>
      <c r="D133" s="3" t="s">
        <v>29</v>
      </c>
      <c r="E133" s="3" t="s">
        <v>13</v>
      </c>
      <c r="F133" s="3" t="s">
        <v>64</v>
      </c>
      <c r="G133" s="0" t="n">
        <v>37</v>
      </c>
      <c r="H133" s="4" t="n">
        <v>37.82</v>
      </c>
      <c r="I133" s="0" t="n">
        <v>0</v>
      </c>
      <c r="J133" s="3" t="s">
        <v>15</v>
      </c>
    </row>
    <row r="134" customFormat="false" ht="14.25" hidden="false" customHeight="false" outlineLevel="0" collapsed="false">
      <c r="A134" s="0" t="s">
        <v>179</v>
      </c>
      <c r="B134" s="2" t="n">
        <v>45640</v>
      </c>
      <c r="C134" s="3" t="s">
        <v>21</v>
      </c>
      <c r="D134" s="3" t="s">
        <v>22</v>
      </c>
      <c r="E134" s="3" t="s">
        <v>32</v>
      </c>
      <c r="F134" s="3" t="s">
        <v>62</v>
      </c>
      <c r="G134" s="0" t="n">
        <v>16</v>
      </c>
      <c r="H134" s="4" t="n">
        <v>36.77</v>
      </c>
      <c r="I134" s="0" t="n">
        <v>10</v>
      </c>
      <c r="J134" s="3" t="s">
        <v>19</v>
      </c>
    </row>
    <row r="135" customFormat="false" ht="14.25" hidden="false" customHeight="false" outlineLevel="0" collapsed="false">
      <c r="A135" s="0" t="s">
        <v>180</v>
      </c>
      <c r="B135" s="2" t="n">
        <v>45487</v>
      </c>
      <c r="C135" s="3" t="s">
        <v>21</v>
      </c>
      <c r="D135" s="3" t="s">
        <v>12</v>
      </c>
      <c r="E135" s="3" t="s">
        <v>13</v>
      </c>
      <c r="F135" s="3" t="s">
        <v>14</v>
      </c>
      <c r="G135" s="0" t="n">
        <v>42</v>
      </c>
      <c r="H135" s="4" t="n">
        <v>71.12</v>
      </c>
      <c r="I135" s="0" t="n">
        <v>0</v>
      </c>
      <c r="J135" s="3" t="s">
        <v>40</v>
      </c>
    </row>
    <row r="136" customFormat="false" ht="14.25" hidden="false" customHeight="false" outlineLevel="0" collapsed="false">
      <c r="A136" s="0" t="s">
        <v>181</v>
      </c>
      <c r="B136" s="2" t="n">
        <v>45369</v>
      </c>
      <c r="C136" s="3" t="s">
        <v>26</v>
      </c>
      <c r="D136" s="3" t="s">
        <v>27</v>
      </c>
      <c r="E136" s="3" t="s">
        <v>32</v>
      </c>
      <c r="F136" s="3" t="s">
        <v>33</v>
      </c>
      <c r="G136" s="0" t="n">
        <v>1</v>
      </c>
      <c r="H136" s="4" t="n">
        <v>66.29</v>
      </c>
      <c r="I136" s="0" t="n">
        <v>10</v>
      </c>
      <c r="J136" s="3" t="s">
        <v>19</v>
      </c>
    </row>
    <row r="137" customFormat="false" ht="14.25" hidden="false" customHeight="false" outlineLevel="0" collapsed="false">
      <c r="A137" s="0" t="s">
        <v>182</v>
      </c>
      <c r="B137" s="2" t="n">
        <v>45336</v>
      </c>
      <c r="C137" s="3" t="s">
        <v>21</v>
      </c>
      <c r="D137" s="3" t="s">
        <v>29</v>
      </c>
      <c r="E137" s="3" t="s">
        <v>32</v>
      </c>
      <c r="F137" s="3" t="s">
        <v>39</v>
      </c>
      <c r="G137" s="0" t="n">
        <v>45</v>
      </c>
      <c r="H137" s="4" t="n">
        <v>114.42</v>
      </c>
      <c r="I137" s="0" t="n">
        <v>10</v>
      </c>
      <c r="J137" s="3" t="s">
        <v>19</v>
      </c>
    </row>
    <row r="138" customFormat="false" ht="14.25" hidden="false" customHeight="false" outlineLevel="0" collapsed="false">
      <c r="A138" s="0" t="s">
        <v>183</v>
      </c>
      <c r="B138" s="2" t="n">
        <v>45572</v>
      </c>
      <c r="C138" s="3" t="s">
        <v>11</v>
      </c>
      <c r="D138" s="3" t="s">
        <v>27</v>
      </c>
      <c r="E138" s="3" t="s">
        <v>44</v>
      </c>
      <c r="F138" s="3" t="s">
        <v>76</v>
      </c>
      <c r="G138" s="0" t="n">
        <v>49</v>
      </c>
      <c r="H138" s="4" t="n">
        <v>86.36</v>
      </c>
      <c r="I138" s="0" t="n">
        <v>0</v>
      </c>
      <c r="J138" s="3" t="s">
        <v>40</v>
      </c>
    </row>
    <row r="139" customFormat="false" ht="14.25" hidden="false" customHeight="false" outlineLevel="0" collapsed="false">
      <c r="A139" s="0" t="s">
        <v>184</v>
      </c>
      <c r="B139" s="2" t="n">
        <v>45558</v>
      </c>
      <c r="C139" s="3" t="s">
        <v>21</v>
      </c>
      <c r="D139" s="3" t="s">
        <v>22</v>
      </c>
      <c r="E139" s="3" t="s">
        <v>13</v>
      </c>
      <c r="F139" s="3" t="s">
        <v>73</v>
      </c>
      <c r="G139" s="0" t="n">
        <v>26</v>
      </c>
      <c r="H139" s="4" t="n">
        <v>34.88</v>
      </c>
      <c r="I139" s="0" t="n">
        <v>15</v>
      </c>
      <c r="J139" s="3" t="s">
        <v>15</v>
      </c>
    </row>
    <row r="140" customFormat="false" ht="14.25" hidden="false" customHeight="false" outlineLevel="0" collapsed="false">
      <c r="A140" s="0" t="s">
        <v>185</v>
      </c>
      <c r="B140" s="2" t="n">
        <v>45440</v>
      </c>
      <c r="C140" s="3" t="s">
        <v>31</v>
      </c>
      <c r="D140" s="3" t="s">
        <v>29</v>
      </c>
      <c r="E140" s="3" t="s">
        <v>44</v>
      </c>
      <c r="F140" s="3" t="s">
        <v>76</v>
      </c>
      <c r="G140" s="0" t="n">
        <v>28</v>
      </c>
      <c r="H140" s="4" t="n">
        <v>607.53</v>
      </c>
      <c r="I140" s="0" t="n">
        <v>5</v>
      </c>
      <c r="J140" s="3" t="s">
        <v>15</v>
      </c>
    </row>
    <row r="141" customFormat="false" ht="14.25" hidden="false" customHeight="false" outlineLevel="0" collapsed="false">
      <c r="A141" s="0" t="s">
        <v>186</v>
      </c>
      <c r="B141" s="2" t="n">
        <v>45506</v>
      </c>
      <c r="C141" s="3" t="s">
        <v>11</v>
      </c>
      <c r="D141" s="3" t="s">
        <v>22</v>
      </c>
      <c r="E141" s="3" t="s">
        <v>32</v>
      </c>
      <c r="F141" s="3" t="s">
        <v>62</v>
      </c>
      <c r="G141" s="0" t="n">
        <v>9</v>
      </c>
      <c r="H141" s="4" t="n">
        <v>60.46</v>
      </c>
      <c r="I141" s="0" t="n">
        <v>5</v>
      </c>
      <c r="J141" s="3" t="s">
        <v>15</v>
      </c>
    </row>
    <row r="142" customFormat="false" ht="14.25" hidden="false" customHeight="false" outlineLevel="0" collapsed="false">
      <c r="A142" s="0" t="s">
        <v>187</v>
      </c>
      <c r="B142" s="2" t="n">
        <v>45472</v>
      </c>
      <c r="C142" s="3" t="s">
        <v>11</v>
      </c>
      <c r="D142" s="3" t="s">
        <v>22</v>
      </c>
      <c r="E142" s="3" t="s">
        <v>13</v>
      </c>
      <c r="F142" s="3" t="s">
        <v>64</v>
      </c>
      <c r="G142" s="0" t="n">
        <v>16</v>
      </c>
      <c r="H142" s="4" t="n">
        <v>110.35</v>
      </c>
      <c r="I142" s="0" t="n">
        <v>15</v>
      </c>
      <c r="J142" s="3" t="s">
        <v>40</v>
      </c>
    </row>
    <row r="143" customFormat="false" ht="14.25" hidden="false" customHeight="false" outlineLevel="0" collapsed="false">
      <c r="A143" s="0" t="s">
        <v>188</v>
      </c>
      <c r="B143" s="2" t="n">
        <v>45459</v>
      </c>
      <c r="C143" s="3" t="s">
        <v>17</v>
      </c>
      <c r="D143" s="3" t="s">
        <v>29</v>
      </c>
      <c r="E143" s="3" t="s">
        <v>44</v>
      </c>
      <c r="F143" s="3" t="s">
        <v>58</v>
      </c>
      <c r="G143" s="0" t="n">
        <v>40</v>
      </c>
      <c r="H143" s="4" t="n">
        <v>294.54</v>
      </c>
      <c r="I143" s="0" t="n">
        <v>10</v>
      </c>
      <c r="J143" s="3" t="s">
        <v>15</v>
      </c>
    </row>
    <row r="144" customFormat="false" ht="14.25" hidden="false" customHeight="false" outlineLevel="0" collapsed="false">
      <c r="A144" s="0" t="s">
        <v>189</v>
      </c>
      <c r="B144" s="2" t="n">
        <v>45517</v>
      </c>
      <c r="C144" s="3" t="s">
        <v>26</v>
      </c>
      <c r="D144" s="3" t="s">
        <v>12</v>
      </c>
      <c r="E144" s="3" t="s">
        <v>13</v>
      </c>
      <c r="F144" s="3" t="s">
        <v>64</v>
      </c>
      <c r="G144" s="0" t="n">
        <v>2</v>
      </c>
      <c r="H144" s="4" t="n">
        <v>59.66</v>
      </c>
      <c r="I144" s="0" t="n">
        <v>20</v>
      </c>
      <c r="J144" s="3" t="s">
        <v>15</v>
      </c>
    </row>
    <row r="145" customFormat="false" ht="14.25" hidden="false" customHeight="false" outlineLevel="0" collapsed="false">
      <c r="A145" s="0" t="s">
        <v>190</v>
      </c>
      <c r="B145" s="2" t="n">
        <v>45306</v>
      </c>
      <c r="C145" s="3" t="s">
        <v>31</v>
      </c>
      <c r="D145" s="3" t="s">
        <v>27</v>
      </c>
      <c r="E145" s="3" t="s">
        <v>13</v>
      </c>
      <c r="F145" s="3" t="s">
        <v>14</v>
      </c>
      <c r="G145" s="0" t="n">
        <v>30</v>
      </c>
      <c r="H145" s="4" t="n">
        <v>111.7</v>
      </c>
      <c r="I145" s="0" t="n">
        <v>5</v>
      </c>
      <c r="J145" s="3" t="s">
        <v>40</v>
      </c>
    </row>
    <row r="146" customFormat="false" ht="14.25" hidden="false" customHeight="false" outlineLevel="0" collapsed="false">
      <c r="A146" s="0" t="s">
        <v>191</v>
      </c>
      <c r="B146" s="2" t="n">
        <v>45513</v>
      </c>
      <c r="C146" s="3" t="s">
        <v>11</v>
      </c>
      <c r="D146" s="3" t="s">
        <v>29</v>
      </c>
      <c r="E146" s="3" t="s">
        <v>32</v>
      </c>
      <c r="F146" s="3" t="s">
        <v>39</v>
      </c>
      <c r="G146" s="0" t="n">
        <v>27</v>
      </c>
      <c r="H146" s="4" t="n">
        <v>45.26</v>
      </c>
      <c r="I146" s="0" t="n">
        <v>10</v>
      </c>
      <c r="J146" s="3" t="s">
        <v>15</v>
      </c>
    </row>
    <row r="147" customFormat="false" ht="14.25" hidden="false" customHeight="false" outlineLevel="0" collapsed="false">
      <c r="A147" s="0" t="s">
        <v>192</v>
      </c>
      <c r="B147" s="2" t="n">
        <v>45578</v>
      </c>
      <c r="C147" s="3" t="s">
        <v>17</v>
      </c>
      <c r="D147" s="3" t="s">
        <v>27</v>
      </c>
      <c r="E147" s="3" t="s">
        <v>32</v>
      </c>
      <c r="F147" s="3" t="s">
        <v>69</v>
      </c>
      <c r="G147" s="0" t="n">
        <v>10</v>
      </c>
      <c r="H147" s="4" t="n">
        <v>83.28</v>
      </c>
      <c r="I147" s="0" t="n">
        <v>0</v>
      </c>
      <c r="J147" s="3" t="s">
        <v>19</v>
      </c>
    </row>
    <row r="148" customFormat="false" ht="14.25" hidden="false" customHeight="false" outlineLevel="0" collapsed="false">
      <c r="A148" s="0" t="s">
        <v>193</v>
      </c>
      <c r="B148" s="2" t="n">
        <v>45454</v>
      </c>
      <c r="C148" s="3" t="s">
        <v>17</v>
      </c>
      <c r="D148" s="3" t="s">
        <v>12</v>
      </c>
      <c r="E148" s="3" t="s">
        <v>23</v>
      </c>
      <c r="F148" s="3" t="s">
        <v>79</v>
      </c>
      <c r="G148" s="0" t="n">
        <v>37</v>
      </c>
      <c r="H148" s="4" t="n">
        <v>34.94</v>
      </c>
      <c r="I148" s="0" t="n">
        <v>10</v>
      </c>
      <c r="J148" s="3" t="s">
        <v>15</v>
      </c>
    </row>
    <row r="149" customFormat="false" ht="14.25" hidden="false" customHeight="false" outlineLevel="0" collapsed="false">
      <c r="A149" s="0" t="s">
        <v>194</v>
      </c>
      <c r="B149" s="2" t="n">
        <v>45608</v>
      </c>
      <c r="C149" s="3" t="s">
        <v>11</v>
      </c>
      <c r="D149" s="3" t="s">
        <v>29</v>
      </c>
      <c r="E149" s="3" t="s">
        <v>23</v>
      </c>
      <c r="F149" s="3" t="s">
        <v>79</v>
      </c>
      <c r="G149" s="0" t="n">
        <v>24</v>
      </c>
      <c r="H149" s="4" t="n">
        <v>414.43</v>
      </c>
      <c r="I149" s="0" t="n">
        <v>20</v>
      </c>
      <c r="J149" s="3" t="s">
        <v>40</v>
      </c>
    </row>
    <row r="150" customFormat="false" ht="14.25" hidden="false" customHeight="false" outlineLevel="0" collapsed="false">
      <c r="A150" s="0" t="s">
        <v>195</v>
      </c>
      <c r="B150" s="2" t="n">
        <v>45577</v>
      </c>
      <c r="C150" s="3" t="s">
        <v>11</v>
      </c>
      <c r="D150" s="3" t="s">
        <v>22</v>
      </c>
      <c r="E150" s="3" t="s">
        <v>44</v>
      </c>
      <c r="F150" s="3" t="s">
        <v>45</v>
      </c>
      <c r="G150" s="0" t="n">
        <v>43</v>
      </c>
      <c r="H150" s="4" t="n">
        <v>139.54</v>
      </c>
      <c r="I150" s="0" t="n">
        <v>0</v>
      </c>
      <c r="J150" s="3" t="s">
        <v>19</v>
      </c>
    </row>
    <row r="151" customFormat="false" ht="14.25" hidden="false" customHeight="false" outlineLevel="0" collapsed="false">
      <c r="A151" s="0" t="s">
        <v>196</v>
      </c>
      <c r="B151" s="2" t="n">
        <v>45493</v>
      </c>
      <c r="C151" s="3" t="s">
        <v>21</v>
      </c>
      <c r="D151" s="3" t="s">
        <v>29</v>
      </c>
      <c r="E151" s="3" t="s">
        <v>32</v>
      </c>
      <c r="F151" s="3" t="s">
        <v>39</v>
      </c>
      <c r="G151" s="0" t="n">
        <v>18</v>
      </c>
      <c r="H151" s="4" t="n">
        <v>61.7</v>
      </c>
      <c r="I151" s="0" t="n">
        <v>5</v>
      </c>
      <c r="J151" s="3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0"/>
  </cols>
  <sheetData>
    <row r="1" customFormat="false" ht="18" hidden="false" customHeight="true" outlineLevel="0" collapsed="false">
      <c r="A1" s="5" t="s">
        <v>197</v>
      </c>
    </row>
    <row r="3" customFormat="false" ht="15" hidden="false" customHeight="true" outlineLevel="0" collapsed="false">
      <c r="A3" s="6" t="s">
        <v>198</v>
      </c>
    </row>
    <row r="4" customFormat="false" ht="14.25" hidden="false" customHeight="false" outlineLevel="0" collapsed="false">
      <c r="A4" s="0" t="s">
        <v>199</v>
      </c>
      <c r="B4" s="0" t="s">
        <v>200</v>
      </c>
    </row>
    <row r="5" customFormat="false" ht="14.25" hidden="false" customHeight="false" outlineLevel="0" collapsed="false">
      <c r="A5" s="0" t="s">
        <v>201</v>
      </c>
      <c r="B5" s="0" t="s">
        <v>202</v>
      </c>
    </row>
    <row r="6" customFormat="false" ht="14.25" hidden="false" customHeight="false" outlineLevel="0" collapsed="false">
      <c r="A6" s="0" t="s">
        <v>203</v>
      </c>
      <c r="B6" s="0" t="s">
        <v>204</v>
      </c>
    </row>
    <row r="7" customFormat="false" ht="14.25" hidden="false" customHeight="false" outlineLevel="0" collapsed="false">
      <c r="A7" s="0" t="s">
        <v>205</v>
      </c>
      <c r="B7" s="0" t="s">
        <v>206</v>
      </c>
    </row>
    <row r="9" customFormat="false" ht="15" hidden="false" customHeight="true" outlineLevel="0" collapsed="false">
      <c r="A9" s="6" t="s">
        <v>207</v>
      </c>
    </row>
    <row r="10" customFormat="false" ht="14.25" hidden="false" customHeight="false" outlineLevel="0" collapsed="false">
      <c r="A10" s="0" t="s">
        <v>208</v>
      </c>
      <c r="B10" s="0" t="s">
        <v>209</v>
      </c>
    </row>
    <row r="11" customFormat="false" ht="14.25" hidden="false" customHeight="false" outlineLevel="0" collapsed="false">
      <c r="A11" s="0" t="s">
        <v>210</v>
      </c>
      <c r="B11" s="0" t="s">
        <v>211</v>
      </c>
    </row>
    <row r="12" customFormat="false" ht="14.25" hidden="false" customHeight="false" outlineLevel="0" collapsed="false">
      <c r="A12" s="0" t="s">
        <v>212</v>
      </c>
      <c r="B12" s="0" t="s">
        <v>213</v>
      </c>
    </row>
    <row r="13" customFormat="false" ht="15" hidden="false" customHeight="true" outlineLevel="0" collapsed="false">
      <c r="A13" s="6"/>
    </row>
    <row r="14" customFormat="false" ht="14.25" hidden="false" customHeight="false" outlineLevel="0" collapsed="false">
      <c r="A14" s="0" t="s">
        <v>214</v>
      </c>
    </row>
    <row r="15" customFormat="false" ht="14.25" hidden="false" customHeight="false" outlineLevel="0" collapsed="false">
      <c r="A15" s="0" t="s">
        <v>215</v>
      </c>
      <c r="B15" s="0" t="s">
        <v>216</v>
      </c>
    </row>
    <row r="16" customFormat="false" ht="14.25" hidden="false" customHeight="false" outlineLevel="0" collapsed="false">
      <c r="A16" s="0" t="s">
        <v>217</v>
      </c>
      <c r="B16" s="0" t="s">
        <v>218</v>
      </c>
    </row>
    <row r="17" customFormat="false" ht="14.25" hidden="false" customHeight="false" outlineLevel="0" collapsed="false">
      <c r="A17" s="0" t="s">
        <v>219</v>
      </c>
      <c r="B17" s="0" t="s">
        <v>220</v>
      </c>
    </row>
    <row r="18" customFormat="false" ht="14.25" hidden="false" customHeight="false" outlineLevel="0" collapsed="false">
      <c r="A18" s="0" t="s">
        <v>221</v>
      </c>
      <c r="B18" s="0" t="s">
        <v>222</v>
      </c>
    </row>
    <row r="19" customFormat="false" ht="15" hidden="false" customHeight="true" outlineLevel="0" collapsed="false">
      <c r="A19" s="6"/>
    </row>
    <row r="20" customFormat="false" ht="14.25" hidden="false" customHeight="false" outlineLevel="0" collapsed="false">
      <c r="A20" s="0" t="s">
        <v>223</v>
      </c>
    </row>
    <row r="21" customFormat="false" ht="14.25" hidden="false" customHeight="false" outlineLevel="0" collapsed="false">
      <c r="A21" s="0" t="s">
        <v>224</v>
      </c>
      <c r="B21" s="0" t="s">
        <v>225</v>
      </c>
    </row>
    <row r="22" customFormat="false" ht="14.25" hidden="false" customHeight="false" outlineLevel="0" collapsed="false">
      <c r="A22" s="0" t="s">
        <v>226</v>
      </c>
      <c r="B22" s="0" t="s">
        <v>227</v>
      </c>
    </row>
    <row r="23" customFormat="false" ht="15" hidden="false" customHeight="true" outlineLevel="0" collapsed="false">
      <c r="A23" s="6" t="s">
        <v>228</v>
      </c>
      <c r="B23" s="3" t="s">
        <v>229</v>
      </c>
    </row>
    <row r="25" customFormat="false" ht="14.25" hidden="false" customHeight="false" outlineLevel="0" collapsed="false">
      <c r="A25" s="0" t="s">
        <v>230</v>
      </c>
    </row>
    <row r="26" customFormat="false" ht="14.25" hidden="false" customHeight="false" outlineLevel="0" collapsed="false">
      <c r="A26" s="0" t="s">
        <v>231</v>
      </c>
      <c r="B26" s="0" t="s">
        <v>232</v>
      </c>
    </row>
    <row r="27" customFormat="false" ht="15" hidden="false" customHeight="true" outlineLevel="0" collapsed="false">
      <c r="A27" s="6" t="s">
        <v>233</v>
      </c>
      <c r="B27" s="3" t="s">
        <v>234</v>
      </c>
    </row>
    <row r="28" customFormat="false" ht="14.25" hidden="false" customHeight="false" outlineLevel="0" collapsed="false">
      <c r="A28" s="0" t="s">
        <v>235</v>
      </c>
      <c r="B28" s="0" t="s">
        <v>236</v>
      </c>
    </row>
    <row r="29" customFormat="false" ht="14.25" hidden="false" customHeight="false" outlineLevel="0" collapsed="false">
      <c r="A29" s="0" t="s">
        <v>237</v>
      </c>
      <c r="B29" s="0" t="s">
        <v>238</v>
      </c>
    </row>
    <row r="31" customFormat="false" ht="15" hidden="false" customHeight="true" outlineLevel="0" collapsed="false">
      <c r="A31" s="6" t="s">
        <v>239</v>
      </c>
    </row>
    <row r="32" customFormat="false" ht="14.25" hidden="false" customHeight="false" outlineLevel="0" collapsed="false">
      <c r="A32" s="0" t="s">
        <v>240</v>
      </c>
      <c r="B32" s="0" t="s">
        <v>241</v>
      </c>
    </row>
    <row r="33" customFormat="false" ht="14.25" hidden="false" customHeight="false" outlineLevel="0" collapsed="false">
      <c r="A33" s="0" t="s">
        <v>242</v>
      </c>
      <c r="B33" s="0" t="s">
        <v>243</v>
      </c>
    </row>
    <row r="34" customFormat="false" ht="14.25" hidden="false" customHeight="false" outlineLevel="0" collapsed="false">
      <c r="A34" s="0" t="s">
        <v>244</v>
      </c>
      <c r="B34" s="0" t="s">
        <v>245</v>
      </c>
    </row>
    <row r="35" customFormat="false" ht="14.25" hidden="false" customHeight="false" outlineLevel="0" collapsed="false">
      <c r="A35" s="0" t="s">
        <v>246</v>
      </c>
      <c r="B35" s="0" t="s">
        <v>247</v>
      </c>
    </row>
    <row r="37" customFormat="false" ht="14.25" hidden="false" customHeight="false" outlineLevel="0" collapsed="false">
      <c r="A37" s="0" t="s">
        <v>248</v>
      </c>
    </row>
    <row r="38" customFormat="false" ht="14.25" hidden="false" customHeight="false" outlineLevel="0" collapsed="false">
      <c r="A38" s="0" t="s">
        <v>249</v>
      </c>
      <c r="B38" s="0" t="s">
        <v>250</v>
      </c>
    </row>
    <row r="39" customFormat="false" ht="14.25" hidden="false" customHeight="false" outlineLevel="0" collapsed="false">
      <c r="A39" s="0" t="s">
        <v>251</v>
      </c>
      <c r="B39" s="0" t="s">
        <v>252</v>
      </c>
    </row>
    <row r="40" customFormat="false" ht="14.25" hidden="false" customHeight="false" outlineLevel="0" collapsed="false">
      <c r="A40" s="0" t="s">
        <v>253</v>
      </c>
      <c r="B40" s="0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7" t="s">
        <v>255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8" t="s">
        <v>256</v>
      </c>
      <c r="B1" s="8"/>
      <c r="C1" s="8"/>
      <c r="D1" s="8"/>
      <c r="E1" s="8"/>
      <c r="F1" s="8"/>
      <c r="G1" s="8"/>
      <c r="H1" s="8"/>
      <c r="I1" s="8"/>
      <c r="J1" s="8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9" t="s">
        <v>257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0" t="s">
        <v>258</v>
      </c>
      <c r="B1" s="10"/>
      <c r="C1" s="10"/>
      <c r="D1" s="10"/>
      <c r="E1" s="10"/>
      <c r="F1" s="10"/>
      <c r="G1" s="10"/>
      <c r="H1" s="10"/>
      <c r="I1" s="10"/>
      <c r="J1" s="10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1" t="s">
        <v>259</v>
      </c>
      <c r="B1" s="11"/>
      <c r="C1" s="11"/>
      <c r="D1" s="11"/>
      <c r="E1" s="11"/>
      <c r="F1" s="11"/>
      <c r="G1" s="11"/>
      <c r="H1" s="11"/>
      <c r="I1" s="11"/>
      <c r="J1" s="11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2" t="s">
        <v>260</v>
      </c>
      <c r="B1" s="12"/>
      <c r="C1" s="12"/>
      <c r="D1" s="12"/>
      <c r="E1" s="12"/>
      <c r="F1" s="12"/>
      <c r="G1" s="12"/>
      <c r="H1" s="12"/>
      <c r="I1" s="12"/>
      <c r="J1" s="12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3" t="s">
        <v>261</v>
      </c>
      <c r="B1" s="13"/>
      <c r="C1" s="13"/>
      <c r="D1" s="13"/>
      <c r="E1" s="13"/>
      <c r="F1" s="13"/>
      <c r="G1" s="13"/>
      <c r="H1" s="13"/>
      <c r="I1" s="13"/>
      <c r="J1" s="13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4" t="s">
        <v>262</v>
      </c>
      <c r="B1" s="14"/>
      <c r="C1" s="14"/>
      <c r="D1" s="14"/>
      <c r="E1" s="14"/>
      <c r="F1" s="14"/>
      <c r="G1" s="14"/>
      <c r="H1" s="14"/>
      <c r="I1" s="14"/>
      <c r="J1" s="14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5" t="s">
        <v>263</v>
      </c>
      <c r="B1" s="15"/>
      <c r="C1" s="15"/>
      <c r="D1" s="15"/>
      <c r="E1" s="15"/>
      <c r="F1" s="15"/>
      <c r="G1" s="15"/>
      <c r="H1" s="15"/>
      <c r="I1" s="15"/>
      <c r="J1" s="15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16" t="s">
        <v>264</v>
      </c>
      <c r="B1" s="16"/>
      <c r="C1" s="16"/>
      <c r="D1" s="16"/>
      <c r="E1" s="16"/>
      <c r="F1" s="16"/>
      <c r="G1" s="16"/>
      <c r="H1" s="16"/>
      <c r="I1" s="16"/>
      <c r="J1" s="16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  <row r="154" customFormat="false" ht="15" hidden="false" customHeight="false" outlineLevel="0" collapsed="false">
      <c r="A154" s="17" t="s">
        <v>265</v>
      </c>
    </row>
    <row r="155" customFormat="false" ht="15" hidden="false" customHeight="false" outlineLevel="0" collapsed="false">
      <c r="A155" s="18" t="s">
        <v>266</v>
      </c>
      <c r="B155" s="19" t="n">
        <f aca="false">SUMIF(E3:E152,"Electronics",G3:G152)</f>
        <v>782</v>
      </c>
    </row>
    <row r="156" customFormat="false" ht="15" hidden="false" customHeight="false" outlineLevel="0" collapsed="false">
      <c r="A156" s="18" t="s">
        <v>267</v>
      </c>
      <c r="B156" s="19" t="n">
        <f aca="false">SUMIF(C3:C152,"John Smith",G3:G152)</f>
        <v>379</v>
      </c>
    </row>
    <row r="157" customFormat="false" ht="15" hidden="false" customHeight="false" outlineLevel="0" collapsed="false">
      <c r="A157" s="18" t="s">
        <v>268</v>
      </c>
      <c r="B157" s="19" t="n">
        <f aca="false">SUMIF(J3:J152,"VIP",G3:G152)</f>
        <v>905</v>
      </c>
    </row>
    <row r="158" customFormat="false" ht="15" hidden="false" customHeight="false" outlineLevel="0" collapsed="false">
      <c r="A158" s="18" t="s">
        <v>269</v>
      </c>
      <c r="B158" s="19" t="n">
        <f aca="false">SUMIF(D3:D152,"West",G3:G152)</f>
        <v>1075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  <col collapsed="false" customWidth="true" hidden="false" outlineLevel="0" max="12" min="12" style="0" width="32"/>
    <col collapsed="false" customWidth="true" hidden="false" outlineLevel="0" max="13" min="13" style="0" width="28"/>
  </cols>
  <sheetData>
    <row r="1" customFormat="false" ht="21.75" hidden="false" customHeight="true" outlineLevel="0" collapsed="false">
      <c r="A1" s="20" t="s">
        <v>270</v>
      </c>
      <c r="B1" s="20"/>
      <c r="C1" s="20"/>
      <c r="D1" s="20"/>
      <c r="E1" s="20"/>
      <c r="F1" s="20"/>
      <c r="G1" s="20"/>
      <c r="H1" s="20"/>
      <c r="I1" s="20"/>
      <c r="J1" s="20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L2" s="21" t="s">
        <v>271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  <c r="L3" s="22" t="s">
        <v>3</v>
      </c>
      <c r="M3" s="22" t="s">
        <v>272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  <c r="L4" s="3" t="s">
        <v>22</v>
      </c>
      <c r="M4" s="3" t="n">
        <f aca="false">SUMPRODUCT((D3:D152=L4)*G3:G152*H3:H152)</f>
        <v>302501.82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  <c r="L5" s="3" t="s">
        <v>27</v>
      </c>
      <c r="M5" s="3" t="n">
        <f aca="false">SUMPRODUCT((D3:D152=L5)*G3:G152*H3:H152)</f>
        <v>248514.13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  <c r="L6" s="3" t="s">
        <v>12</v>
      </c>
      <c r="M6" s="3" t="n">
        <f aca="false">SUMPRODUCT((D3:D152=L6)*G3:G152*H3:H152)</f>
        <v>259309.42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  <c r="L7" s="3" t="s">
        <v>29</v>
      </c>
      <c r="M7" s="3" t="n">
        <f aca="false">SUMPRODUCT((D3:D152=L7)*G3:G152*H3:H152)</f>
        <v>289391.43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3" style="0" width="15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10" min="10" style="0" width="14"/>
  </cols>
  <sheetData>
    <row r="1" customFormat="false" ht="21.75" hidden="false" customHeight="true" outlineLevel="0" collapsed="false">
      <c r="A1" s="23" t="s">
        <v>273</v>
      </c>
      <c r="B1" s="23"/>
      <c r="C1" s="23"/>
      <c r="D1" s="23"/>
      <c r="E1" s="23"/>
      <c r="F1" s="23"/>
      <c r="G1" s="23"/>
      <c r="H1" s="23"/>
      <c r="I1" s="23"/>
      <c r="J1" s="23"/>
    </row>
    <row r="2" customFormat="false" ht="15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</row>
    <row r="3" customFormat="false" ht="15" hidden="false" customHeight="false" outlineLevel="0" collapsed="false">
      <c r="A3" s="0" t="s">
        <v>10</v>
      </c>
      <c r="B3" s="2" t="n">
        <v>45460</v>
      </c>
      <c r="C3" s="3" t="s">
        <v>11</v>
      </c>
      <c r="D3" s="3" t="s">
        <v>12</v>
      </c>
      <c r="E3" s="3" t="s">
        <v>13</v>
      </c>
      <c r="F3" s="3" t="s">
        <v>14</v>
      </c>
      <c r="G3" s="0" t="n">
        <v>23</v>
      </c>
      <c r="H3" s="4" t="n">
        <v>99.71</v>
      </c>
      <c r="I3" s="0" t="n">
        <v>20</v>
      </c>
      <c r="J3" s="3" t="s">
        <v>15</v>
      </c>
    </row>
    <row r="4" customFormat="false" ht="15" hidden="false" customHeight="false" outlineLevel="0" collapsed="false">
      <c r="A4" s="0" t="s">
        <v>16</v>
      </c>
      <c r="B4" s="2" t="n">
        <v>45451</v>
      </c>
      <c r="C4" s="3" t="s">
        <v>17</v>
      </c>
      <c r="D4" s="3" t="s">
        <v>12</v>
      </c>
      <c r="E4" s="3" t="s">
        <v>13</v>
      </c>
      <c r="F4" s="3" t="s">
        <v>18</v>
      </c>
      <c r="G4" s="0" t="n">
        <v>15</v>
      </c>
      <c r="H4" s="4" t="n">
        <v>34.95</v>
      </c>
      <c r="I4" s="0" t="n">
        <v>15</v>
      </c>
      <c r="J4" s="3" t="s">
        <v>19</v>
      </c>
    </row>
    <row r="5" customFormat="false" ht="15" hidden="false" customHeight="false" outlineLevel="0" collapsed="false">
      <c r="A5" s="0" t="s">
        <v>20</v>
      </c>
      <c r="B5" s="2" t="n">
        <v>45640</v>
      </c>
      <c r="C5" s="3" t="s">
        <v>21</v>
      </c>
      <c r="D5" s="3" t="s">
        <v>22</v>
      </c>
      <c r="E5" s="3" t="s">
        <v>23</v>
      </c>
      <c r="F5" s="3" t="s">
        <v>24</v>
      </c>
      <c r="G5" s="0" t="n">
        <v>34</v>
      </c>
      <c r="H5" s="4" t="n">
        <v>349.44</v>
      </c>
      <c r="I5" s="0" t="n">
        <v>0</v>
      </c>
      <c r="J5" s="3" t="s">
        <v>15</v>
      </c>
    </row>
    <row r="6" customFormat="false" ht="15" hidden="false" customHeight="false" outlineLevel="0" collapsed="false">
      <c r="A6" s="0" t="s">
        <v>25</v>
      </c>
      <c r="B6" s="2" t="n">
        <v>45447</v>
      </c>
      <c r="C6" s="3" t="s">
        <v>26</v>
      </c>
      <c r="D6" s="3" t="s">
        <v>27</v>
      </c>
      <c r="E6" s="3" t="s">
        <v>23</v>
      </c>
      <c r="F6" s="3" t="s">
        <v>24</v>
      </c>
      <c r="G6" s="0" t="n">
        <v>16</v>
      </c>
      <c r="H6" s="4" t="n">
        <v>1029.36</v>
      </c>
      <c r="I6" s="0" t="n">
        <v>10</v>
      </c>
      <c r="J6" s="3" t="s">
        <v>19</v>
      </c>
    </row>
    <row r="7" customFormat="false" ht="15" hidden="false" customHeight="false" outlineLevel="0" collapsed="false">
      <c r="A7" s="0" t="s">
        <v>28</v>
      </c>
      <c r="B7" s="2" t="n">
        <v>45587</v>
      </c>
      <c r="C7" s="3" t="s">
        <v>21</v>
      </c>
      <c r="D7" s="3" t="s">
        <v>29</v>
      </c>
      <c r="E7" s="3" t="s">
        <v>23</v>
      </c>
      <c r="F7" s="3" t="s">
        <v>24</v>
      </c>
      <c r="G7" s="0" t="n">
        <v>19</v>
      </c>
      <c r="H7" s="4" t="n">
        <v>947.6</v>
      </c>
      <c r="I7" s="0" t="n">
        <v>5</v>
      </c>
      <c r="J7" s="3" t="s">
        <v>19</v>
      </c>
    </row>
    <row r="8" customFormat="false" ht="15" hidden="false" customHeight="false" outlineLevel="0" collapsed="false">
      <c r="A8" s="0" t="s">
        <v>30</v>
      </c>
      <c r="B8" s="2" t="n">
        <v>45430</v>
      </c>
      <c r="C8" s="3" t="s">
        <v>31</v>
      </c>
      <c r="D8" s="3" t="s">
        <v>29</v>
      </c>
      <c r="E8" s="3" t="s">
        <v>32</v>
      </c>
      <c r="F8" s="3" t="s">
        <v>33</v>
      </c>
      <c r="G8" s="0" t="n">
        <v>4</v>
      </c>
      <c r="H8" s="4" t="n">
        <v>57.09</v>
      </c>
      <c r="I8" s="0" t="n">
        <v>0</v>
      </c>
      <c r="J8" s="3" t="s">
        <v>19</v>
      </c>
    </row>
    <row r="9" customFormat="false" ht="15" hidden="false" customHeight="false" outlineLevel="0" collapsed="false">
      <c r="A9" s="0" t="s">
        <v>34</v>
      </c>
      <c r="B9" s="2" t="n">
        <v>45561</v>
      </c>
      <c r="C9" s="3" t="s">
        <v>26</v>
      </c>
      <c r="D9" s="3" t="s">
        <v>22</v>
      </c>
      <c r="E9" s="3" t="s">
        <v>13</v>
      </c>
      <c r="F9" s="3" t="s">
        <v>18</v>
      </c>
      <c r="G9" s="0" t="n">
        <v>20</v>
      </c>
      <c r="H9" s="4" t="n">
        <v>61.81</v>
      </c>
      <c r="I9" s="0" t="n">
        <v>15</v>
      </c>
      <c r="J9" s="3" t="s">
        <v>15</v>
      </c>
    </row>
    <row r="10" customFormat="false" ht="15" hidden="false" customHeight="false" outlineLevel="0" collapsed="false">
      <c r="A10" s="0" t="s">
        <v>35</v>
      </c>
      <c r="B10" s="2" t="n">
        <v>45330</v>
      </c>
      <c r="C10" s="3" t="s">
        <v>11</v>
      </c>
      <c r="D10" s="3" t="s">
        <v>29</v>
      </c>
      <c r="E10" s="3" t="s">
        <v>23</v>
      </c>
      <c r="F10" s="3" t="s">
        <v>24</v>
      </c>
      <c r="G10" s="0" t="n">
        <v>9</v>
      </c>
      <c r="H10" s="4" t="n">
        <v>390.61</v>
      </c>
      <c r="I10" s="0" t="n">
        <v>5</v>
      </c>
      <c r="J10" s="3" t="s">
        <v>19</v>
      </c>
    </row>
    <row r="11" customFormat="false" ht="15" hidden="false" customHeight="false" outlineLevel="0" collapsed="false">
      <c r="A11" s="0" t="s">
        <v>36</v>
      </c>
      <c r="B11" s="2" t="n">
        <v>45373</v>
      </c>
      <c r="C11" s="3" t="s">
        <v>21</v>
      </c>
      <c r="D11" s="3" t="s">
        <v>27</v>
      </c>
      <c r="E11" s="3" t="s">
        <v>23</v>
      </c>
      <c r="F11" s="3" t="s">
        <v>37</v>
      </c>
      <c r="G11" s="0" t="n">
        <v>2</v>
      </c>
      <c r="H11" s="4" t="n">
        <v>1031.22</v>
      </c>
      <c r="I11" s="0" t="n">
        <v>15</v>
      </c>
      <c r="J11" s="3" t="s">
        <v>19</v>
      </c>
    </row>
    <row r="12" customFormat="false" ht="15" hidden="false" customHeight="false" outlineLevel="0" collapsed="false">
      <c r="A12" s="0" t="s">
        <v>38</v>
      </c>
      <c r="B12" s="2" t="n">
        <v>45349</v>
      </c>
      <c r="C12" s="3" t="s">
        <v>31</v>
      </c>
      <c r="D12" s="3" t="s">
        <v>29</v>
      </c>
      <c r="E12" s="3" t="s">
        <v>32</v>
      </c>
      <c r="F12" s="3" t="s">
        <v>39</v>
      </c>
      <c r="G12" s="0" t="n">
        <v>21</v>
      </c>
      <c r="H12" s="4" t="n">
        <v>84.04</v>
      </c>
      <c r="I12" s="0" t="n">
        <v>10</v>
      </c>
      <c r="J12" s="3" t="s">
        <v>40</v>
      </c>
    </row>
    <row r="13" customFormat="false" ht="15" hidden="false" customHeight="false" outlineLevel="0" collapsed="false">
      <c r="A13" s="0" t="s">
        <v>41</v>
      </c>
      <c r="B13" s="2" t="n">
        <v>45371</v>
      </c>
      <c r="C13" s="3" t="s">
        <v>26</v>
      </c>
      <c r="D13" s="3" t="s">
        <v>29</v>
      </c>
      <c r="E13" s="3" t="s">
        <v>23</v>
      </c>
      <c r="F13" s="3" t="s">
        <v>37</v>
      </c>
      <c r="G13" s="0" t="n">
        <v>45</v>
      </c>
      <c r="H13" s="4" t="n">
        <v>1101.19</v>
      </c>
      <c r="I13" s="0" t="n">
        <v>15</v>
      </c>
      <c r="J13" s="3" t="s">
        <v>19</v>
      </c>
    </row>
    <row r="14" customFormat="false" ht="15" hidden="false" customHeight="false" outlineLevel="0" collapsed="false">
      <c r="A14" s="0" t="s">
        <v>42</v>
      </c>
      <c r="B14" s="2" t="n">
        <v>45362</v>
      </c>
      <c r="C14" s="3" t="s">
        <v>43</v>
      </c>
      <c r="D14" s="3" t="s">
        <v>29</v>
      </c>
      <c r="E14" s="3" t="s">
        <v>44</v>
      </c>
      <c r="F14" s="3" t="s">
        <v>45</v>
      </c>
      <c r="G14" s="0" t="n">
        <v>31</v>
      </c>
      <c r="H14" s="4" t="n">
        <v>634.12</v>
      </c>
      <c r="I14" s="0" t="n">
        <v>15</v>
      </c>
      <c r="J14" s="3" t="s">
        <v>40</v>
      </c>
    </row>
    <row r="15" customFormat="false" ht="15" hidden="false" customHeight="false" outlineLevel="0" collapsed="false">
      <c r="A15" s="0" t="s">
        <v>46</v>
      </c>
      <c r="B15" s="2" t="n">
        <v>45582</v>
      </c>
      <c r="C15" s="3" t="s">
        <v>31</v>
      </c>
      <c r="D15" s="3" t="s">
        <v>12</v>
      </c>
      <c r="E15" s="3" t="s">
        <v>44</v>
      </c>
      <c r="F15" s="3" t="s">
        <v>47</v>
      </c>
      <c r="G15" s="0" t="n">
        <v>39</v>
      </c>
      <c r="H15" s="4" t="n">
        <v>444.28</v>
      </c>
      <c r="I15" s="0" t="n">
        <v>10</v>
      </c>
      <c r="J15" s="3" t="s">
        <v>15</v>
      </c>
    </row>
    <row r="16" customFormat="false" ht="15" hidden="false" customHeight="false" outlineLevel="0" collapsed="false">
      <c r="A16" s="0" t="s">
        <v>48</v>
      </c>
      <c r="B16" s="2" t="n">
        <v>45495</v>
      </c>
      <c r="C16" s="3" t="s">
        <v>21</v>
      </c>
      <c r="D16" s="3" t="s">
        <v>27</v>
      </c>
      <c r="E16" s="3" t="s">
        <v>13</v>
      </c>
      <c r="F16" s="3" t="s">
        <v>18</v>
      </c>
      <c r="G16" s="0" t="n">
        <v>1</v>
      </c>
      <c r="H16" s="4" t="n">
        <v>108.32</v>
      </c>
      <c r="I16" s="0" t="n">
        <v>15</v>
      </c>
      <c r="J16" s="3" t="s">
        <v>40</v>
      </c>
    </row>
    <row r="17" customFormat="false" ht="15" hidden="false" customHeight="false" outlineLevel="0" collapsed="false">
      <c r="A17" s="0" t="s">
        <v>49</v>
      </c>
      <c r="B17" s="2" t="n">
        <v>45292</v>
      </c>
      <c r="C17" s="3" t="s">
        <v>17</v>
      </c>
      <c r="D17" s="3" t="s">
        <v>27</v>
      </c>
      <c r="E17" s="3" t="s">
        <v>44</v>
      </c>
      <c r="F17" s="3" t="s">
        <v>50</v>
      </c>
      <c r="G17" s="0" t="n">
        <v>31</v>
      </c>
      <c r="H17" s="4" t="n">
        <v>686.19</v>
      </c>
      <c r="I17" s="0" t="n">
        <v>0</v>
      </c>
      <c r="J17" s="3" t="s">
        <v>40</v>
      </c>
    </row>
    <row r="18" customFormat="false" ht="15" hidden="false" customHeight="false" outlineLevel="0" collapsed="false">
      <c r="A18" s="0" t="s">
        <v>51</v>
      </c>
      <c r="B18" s="2" t="n">
        <v>45317</v>
      </c>
      <c r="C18" s="3" t="s">
        <v>31</v>
      </c>
      <c r="D18" s="3" t="s">
        <v>29</v>
      </c>
      <c r="E18" s="3" t="s">
        <v>44</v>
      </c>
      <c r="F18" s="3" t="s">
        <v>45</v>
      </c>
      <c r="G18" s="0" t="n">
        <v>2</v>
      </c>
      <c r="H18" s="4" t="n">
        <v>761.25</v>
      </c>
      <c r="I18" s="0" t="n">
        <v>0</v>
      </c>
      <c r="J18" s="3" t="s">
        <v>15</v>
      </c>
    </row>
    <row r="19" customFormat="false" ht="15" hidden="false" customHeight="false" outlineLevel="0" collapsed="false">
      <c r="A19" s="0" t="s">
        <v>52</v>
      </c>
      <c r="B19" s="2" t="n">
        <v>45325</v>
      </c>
      <c r="C19" s="3" t="s">
        <v>26</v>
      </c>
      <c r="D19" s="3" t="s">
        <v>22</v>
      </c>
      <c r="E19" s="3" t="s">
        <v>23</v>
      </c>
      <c r="F19" s="3" t="s">
        <v>53</v>
      </c>
      <c r="G19" s="0" t="n">
        <v>2</v>
      </c>
      <c r="H19" s="4" t="n">
        <v>718.22</v>
      </c>
      <c r="I19" s="0" t="n">
        <v>5</v>
      </c>
      <c r="J19" s="3" t="s">
        <v>19</v>
      </c>
    </row>
    <row r="20" customFormat="false" ht="15" hidden="false" customHeight="false" outlineLevel="0" collapsed="false">
      <c r="A20" s="0" t="s">
        <v>54</v>
      </c>
      <c r="B20" s="2" t="n">
        <v>45421</v>
      </c>
      <c r="C20" s="3" t="s">
        <v>17</v>
      </c>
      <c r="D20" s="3" t="s">
        <v>27</v>
      </c>
      <c r="E20" s="3" t="s">
        <v>13</v>
      </c>
      <c r="F20" s="3" t="s">
        <v>18</v>
      </c>
      <c r="G20" s="0" t="n">
        <v>48</v>
      </c>
      <c r="H20" s="4" t="n">
        <v>55.26</v>
      </c>
      <c r="I20" s="0" t="n">
        <v>15</v>
      </c>
      <c r="J20" s="3" t="s">
        <v>40</v>
      </c>
    </row>
    <row r="21" customFormat="false" ht="15" hidden="false" customHeight="false" outlineLevel="0" collapsed="false">
      <c r="A21" s="0" t="s">
        <v>55</v>
      </c>
      <c r="B21" s="2" t="n">
        <v>45406</v>
      </c>
      <c r="C21" s="3" t="s">
        <v>21</v>
      </c>
      <c r="D21" s="3" t="s">
        <v>22</v>
      </c>
      <c r="E21" s="3" t="s">
        <v>13</v>
      </c>
      <c r="F21" s="3" t="s">
        <v>14</v>
      </c>
      <c r="G21" s="0" t="n">
        <v>24</v>
      </c>
      <c r="H21" s="4" t="n">
        <v>22.61</v>
      </c>
      <c r="I21" s="0" t="n">
        <v>15</v>
      </c>
      <c r="J21" s="3" t="s">
        <v>15</v>
      </c>
    </row>
    <row r="22" customFormat="false" ht="15" hidden="false" customHeight="false" outlineLevel="0" collapsed="false">
      <c r="A22" s="0" t="s">
        <v>56</v>
      </c>
      <c r="B22" s="2" t="n">
        <v>45406</v>
      </c>
      <c r="C22" s="3" t="s">
        <v>11</v>
      </c>
      <c r="D22" s="3" t="s">
        <v>29</v>
      </c>
      <c r="E22" s="3" t="s">
        <v>32</v>
      </c>
      <c r="F22" s="3" t="s">
        <v>33</v>
      </c>
      <c r="G22" s="0" t="n">
        <v>19</v>
      </c>
      <c r="H22" s="4" t="n">
        <v>45.97</v>
      </c>
      <c r="I22" s="0" t="n">
        <v>20</v>
      </c>
      <c r="J22" s="3" t="s">
        <v>19</v>
      </c>
    </row>
    <row r="23" customFormat="false" ht="15" hidden="false" customHeight="false" outlineLevel="0" collapsed="false">
      <c r="A23" s="0" t="s">
        <v>57</v>
      </c>
      <c r="B23" s="2" t="n">
        <v>45418</v>
      </c>
      <c r="C23" s="3" t="s">
        <v>11</v>
      </c>
      <c r="D23" s="3" t="s">
        <v>22</v>
      </c>
      <c r="E23" s="3" t="s">
        <v>44</v>
      </c>
      <c r="F23" s="3" t="s">
        <v>58</v>
      </c>
      <c r="G23" s="0" t="n">
        <v>46</v>
      </c>
      <c r="H23" s="4" t="n">
        <v>166.89</v>
      </c>
      <c r="I23" s="0" t="n">
        <v>20</v>
      </c>
      <c r="J23" s="3" t="s">
        <v>40</v>
      </c>
    </row>
    <row r="24" customFormat="false" ht="15" hidden="false" customHeight="false" outlineLevel="0" collapsed="false">
      <c r="A24" s="0" t="s">
        <v>59</v>
      </c>
      <c r="B24" s="2" t="n">
        <v>45414</v>
      </c>
      <c r="C24" s="3" t="s">
        <v>11</v>
      </c>
      <c r="D24" s="3" t="s">
        <v>22</v>
      </c>
      <c r="E24" s="3" t="s">
        <v>44</v>
      </c>
      <c r="F24" s="3" t="s">
        <v>58</v>
      </c>
      <c r="G24" s="0" t="n">
        <v>37</v>
      </c>
      <c r="H24" s="4" t="n">
        <v>737.23</v>
      </c>
      <c r="I24" s="0" t="n">
        <v>15</v>
      </c>
      <c r="J24" s="3" t="s">
        <v>19</v>
      </c>
    </row>
    <row r="25" customFormat="false" ht="15" hidden="false" customHeight="false" outlineLevel="0" collapsed="false">
      <c r="A25" s="0" t="s">
        <v>60</v>
      </c>
      <c r="B25" s="2" t="n">
        <v>45378</v>
      </c>
      <c r="C25" s="3" t="s">
        <v>26</v>
      </c>
      <c r="D25" s="3" t="s">
        <v>27</v>
      </c>
      <c r="E25" s="3" t="s">
        <v>13</v>
      </c>
      <c r="F25" s="3" t="s">
        <v>18</v>
      </c>
      <c r="G25" s="0" t="n">
        <v>22</v>
      </c>
      <c r="H25" s="4" t="n">
        <v>33.94</v>
      </c>
      <c r="I25" s="0" t="n">
        <v>5</v>
      </c>
      <c r="J25" s="3" t="s">
        <v>15</v>
      </c>
    </row>
    <row r="26" customFormat="false" ht="15" hidden="false" customHeight="false" outlineLevel="0" collapsed="false">
      <c r="A26" s="0" t="s">
        <v>61</v>
      </c>
      <c r="B26" s="2" t="n">
        <v>45474</v>
      </c>
      <c r="C26" s="3" t="s">
        <v>26</v>
      </c>
      <c r="D26" s="3" t="s">
        <v>27</v>
      </c>
      <c r="E26" s="3" t="s">
        <v>32</v>
      </c>
      <c r="F26" s="3" t="s">
        <v>62</v>
      </c>
      <c r="G26" s="0" t="n">
        <v>14</v>
      </c>
      <c r="H26" s="4" t="n">
        <v>54.06</v>
      </c>
      <c r="I26" s="0" t="n">
        <v>0</v>
      </c>
      <c r="J26" s="3" t="s">
        <v>19</v>
      </c>
    </row>
    <row r="27" customFormat="false" ht="15" hidden="false" customHeight="false" outlineLevel="0" collapsed="false">
      <c r="A27" s="0" t="s">
        <v>63</v>
      </c>
      <c r="B27" s="2" t="n">
        <v>45292</v>
      </c>
      <c r="C27" s="3" t="s">
        <v>43</v>
      </c>
      <c r="D27" s="3" t="s">
        <v>27</v>
      </c>
      <c r="E27" s="3" t="s">
        <v>13</v>
      </c>
      <c r="F27" s="3" t="s">
        <v>64</v>
      </c>
      <c r="G27" s="0" t="n">
        <v>8</v>
      </c>
      <c r="H27" s="4" t="n">
        <v>81.2</v>
      </c>
      <c r="I27" s="0" t="n">
        <v>5</v>
      </c>
      <c r="J27" s="3" t="s">
        <v>19</v>
      </c>
    </row>
    <row r="28" customFormat="false" ht="15" hidden="false" customHeight="false" outlineLevel="0" collapsed="false">
      <c r="A28" s="0" t="s">
        <v>65</v>
      </c>
      <c r="B28" s="2" t="n">
        <v>45608</v>
      </c>
      <c r="C28" s="3" t="s">
        <v>26</v>
      </c>
      <c r="D28" s="3" t="s">
        <v>27</v>
      </c>
      <c r="E28" s="3" t="s">
        <v>13</v>
      </c>
      <c r="F28" s="3" t="s">
        <v>64</v>
      </c>
      <c r="G28" s="0" t="n">
        <v>6</v>
      </c>
      <c r="H28" s="4" t="n">
        <v>20.56</v>
      </c>
      <c r="I28" s="0" t="n">
        <v>0</v>
      </c>
      <c r="J28" s="3" t="s">
        <v>19</v>
      </c>
    </row>
    <row r="29" customFormat="false" ht="15" hidden="false" customHeight="false" outlineLevel="0" collapsed="false">
      <c r="A29" s="0" t="s">
        <v>66</v>
      </c>
      <c r="B29" s="2" t="n">
        <v>45642</v>
      </c>
      <c r="C29" s="3" t="s">
        <v>17</v>
      </c>
      <c r="D29" s="3" t="s">
        <v>29</v>
      </c>
      <c r="E29" s="3" t="s">
        <v>32</v>
      </c>
      <c r="F29" s="3" t="s">
        <v>62</v>
      </c>
      <c r="G29" s="0" t="n">
        <v>50</v>
      </c>
      <c r="H29" s="4" t="n">
        <v>21.64</v>
      </c>
      <c r="I29" s="0" t="n">
        <v>15</v>
      </c>
      <c r="J29" s="3" t="s">
        <v>40</v>
      </c>
    </row>
    <row r="30" customFormat="false" ht="15" hidden="false" customHeight="false" outlineLevel="0" collapsed="false">
      <c r="A30" s="0" t="s">
        <v>67</v>
      </c>
      <c r="B30" s="2" t="n">
        <v>45329</v>
      </c>
      <c r="C30" s="3" t="s">
        <v>21</v>
      </c>
      <c r="D30" s="3" t="s">
        <v>22</v>
      </c>
      <c r="E30" s="3" t="s">
        <v>32</v>
      </c>
      <c r="F30" s="3" t="s">
        <v>33</v>
      </c>
      <c r="G30" s="0" t="n">
        <v>4</v>
      </c>
      <c r="H30" s="4" t="n">
        <v>42.12</v>
      </c>
      <c r="I30" s="0" t="n">
        <v>10</v>
      </c>
      <c r="J30" s="3" t="s">
        <v>40</v>
      </c>
    </row>
    <row r="31" customFormat="false" ht="15" hidden="false" customHeight="false" outlineLevel="0" collapsed="false">
      <c r="A31" s="0" t="s">
        <v>68</v>
      </c>
      <c r="B31" s="2" t="n">
        <v>45475</v>
      </c>
      <c r="C31" s="3" t="s">
        <v>43</v>
      </c>
      <c r="D31" s="3" t="s">
        <v>12</v>
      </c>
      <c r="E31" s="3" t="s">
        <v>32</v>
      </c>
      <c r="F31" s="3" t="s">
        <v>69</v>
      </c>
      <c r="G31" s="0" t="n">
        <v>16</v>
      </c>
      <c r="H31" s="4" t="n">
        <v>44.53</v>
      </c>
      <c r="I31" s="0" t="n">
        <v>10</v>
      </c>
      <c r="J31" s="3" t="s">
        <v>19</v>
      </c>
    </row>
    <row r="32" customFormat="false" ht="15" hidden="false" customHeight="false" outlineLevel="0" collapsed="false">
      <c r="A32" s="0" t="s">
        <v>70</v>
      </c>
      <c r="B32" s="2" t="n">
        <v>45470</v>
      </c>
      <c r="C32" s="3" t="s">
        <v>31</v>
      </c>
      <c r="D32" s="3" t="s">
        <v>12</v>
      </c>
      <c r="E32" s="3" t="s">
        <v>32</v>
      </c>
      <c r="F32" s="3" t="s">
        <v>62</v>
      </c>
      <c r="G32" s="0" t="n">
        <v>26</v>
      </c>
      <c r="H32" s="4" t="n">
        <v>115.09</v>
      </c>
      <c r="I32" s="0" t="n">
        <v>10</v>
      </c>
      <c r="J32" s="3" t="s">
        <v>40</v>
      </c>
    </row>
    <row r="33" customFormat="false" ht="15" hidden="false" customHeight="false" outlineLevel="0" collapsed="false">
      <c r="A33" s="0" t="s">
        <v>71</v>
      </c>
      <c r="B33" s="2" t="n">
        <v>45356</v>
      </c>
      <c r="C33" s="3" t="s">
        <v>17</v>
      </c>
      <c r="D33" s="3" t="s">
        <v>12</v>
      </c>
      <c r="E33" s="3" t="s">
        <v>13</v>
      </c>
      <c r="F33" s="3" t="s">
        <v>14</v>
      </c>
      <c r="G33" s="0" t="n">
        <v>50</v>
      </c>
      <c r="H33" s="4" t="n">
        <v>91.44</v>
      </c>
      <c r="I33" s="0" t="n">
        <v>15</v>
      </c>
      <c r="J33" s="3" t="s">
        <v>15</v>
      </c>
    </row>
    <row r="34" customFormat="false" ht="15" hidden="false" customHeight="false" outlineLevel="0" collapsed="false">
      <c r="A34" s="0" t="s">
        <v>72</v>
      </c>
      <c r="B34" s="2" t="n">
        <v>45390</v>
      </c>
      <c r="C34" s="3" t="s">
        <v>31</v>
      </c>
      <c r="D34" s="3" t="s">
        <v>29</v>
      </c>
      <c r="E34" s="3" t="s">
        <v>13</v>
      </c>
      <c r="F34" s="3" t="s">
        <v>73</v>
      </c>
      <c r="G34" s="0" t="n">
        <v>10</v>
      </c>
      <c r="H34" s="4" t="n">
        <v>6.26</v>
      </c>
      <c r="I34" s="0" t="n">
        <v>20</v>
      </c>
      <c r="J34" s="3" t="s">
        <v>15</v>
      </c>
    </row>
    <row r="35" customFormat="false" ht="15" hidden="false" customHeight="false" outlineLevel="0" collapsed="false">
      <c r="A35" s="0" t="s">
        <v>74</v>
      </c>
      <c r="B35" s="2" t="n">
        <v>45350</v>
      </c>
      <c r="C35" s="3" t="s">
        <v>17</v>
      </c>
      <c r="D35" s="3" t="s">
        <v>29</v>
      </c>
      <c r="E35" s="3" t="s">
        <v>44</v>
      </c>
      <c r="F35" s="3" t="s">
        <v>50</v>
      </c>
      <c r="G35" s="0" t="n">
        <v>43</v>
      </c>
      <c r="H35" s="4" t="n">
        <v>562.78</v>
      </c>
      <c r="I35" s="0" t="n">
        <v>15</v>
      </c>
      <c r="J35" s="3" t="s">
        <v>15</v>
      </c>
    </row>
    <row r="36" customFormat="false" ht="15" hidden="false" customHeight="false" outlineLevel="0" collapsed="false">
      <c r="A36" s="0" t="s">
        <v>75</v>
      </c>
      <c r="B36" s="2" t="n">
        <v>45348</v>
      </c>
      <c r="C36" s="3" t="s">
        <v>31</v>
      </c>
      <c r="D36" s="3" t="s">
        <v>22</v>
      </c>
      <c r="E36" s="3" t="s">
        <v>44</v>
      </c>
      <c r="F36" s="3" t="s">
        <v>76</v>
      </c>
      <c r="G36" s="0" t="n">
        <v>37</v>
      </c>
      <c r="H36" s="4" t="n">
        <v>546.81</v>
      </c>
      <c r="I36" s="0" t="n">
        <v>10</v>
      </c>
      <c r="J36" s="3" t="s">
        <v>40</v>
      </c>
    </row>
    <row r="37" customFormat="false" ht="15" hidden="false" customHeight="false" outlineLevel="0" collapsed="false">
      <c r="A37" s="0" t="s">
        <v>77</v>
      </c>
      <c r="B37" s="2" t="n">
        <v>45350</v>
      </c>
      <c r="C37" s="3" t="s">
        <v>31</v>
      </c>
      <c r="D37" s="3" t="s">
        <v>12</v>
      </c>
      <c r="E37" s="3" t="s">
        <v>32</v>
      </c>
      <c r="F37" s="3" t="s">
        <v>39</v>
      </c>
      <c r="G37" s="0" t="n">
        <v>16</v>
      </c>
      <c r="H37" s="4" t="n">
        <v>31.01</v>
      </c>
      <c r="I37" s="0" t="n">
        <v>20</v>
      </c>
      <c r="J37" s="3" t="s">
        <v>15</v>
      </c>
    </row>
    <row r="38" customFormat="false" ht="15" hidden="false" customHeight="false" outlineLevel="0" collapsed="false">
      <c r="A38" s="0" t="s">
        <v>78</v>
      </c>
      <c r="B38" s="2" t="n">
        <v>45540</v>
      </c>
      <c r="C38" s="3" t="s">
        <v>43</v>
      </c>
      <c r="D38" s="3" t="s">
        <v>22</v>
      </c>
      <c r="E38" s="3" t="s">
        <v>23</v>
      </c>
      <c r="F38" s="3" t="s">
        <v>79</v>
      </c>
      <c r="G38" s="0" t="n">
        <v>23</v>
      </c>
      <c r="H38" s="4" t="n">
        <v>636.73</v>
      </c>
      <c r="I38" s="0" t="n">
        <v>15</v>
      </c>
      <c r="J38" s="3" t="s">
        <v>40</v>
      </c>
    </row>
    <row r="39" customFormat="false" ht="15" hidden="false" customHeight="false" outlineLevel="0" collapsed="false">
      <c r="A39" s="0" t="s">
        <v>80</v>
      </c>
      <c r="B39" s="2" t="n">
        <v>45433</v>
      </c>
      <c r="C39" s="3" t="s">
        <v>26</v>
      </c>
      <c r="D39" s="3" t="s">
        <v>22</v>
      </c>
      <c r="E39" s="3" t="s">
        <v>44</v>
      </c>
      <c r="F39" s="3" t="s">
        <v>47</v>
      </c>
      <c r="G39" s="0" t="n">
        <v>39</v>
      </c>
      <c r="H39" s="4" t="n">
        <v>362.42</v>
      </c>
      <c r="I39" s="0" t="n">
        <v>0</v>
      </c>
      <c r="J39" s="3" t="s">
        <v>40</v>
      </c>
    </row>
    <row r="40" customFormat="false" ht="15" hidden="false" customHeight="false" outlineLevel="0" collapsed="false">
      <c r="A40" s="0" t="s">
        <v>81</v>
      </c>
      <c r="B40" s="2" t="n">
        <v>45635</v>
      </c>
      <c r="C40" s="3" t="s">
        <v>11</v>
      </c>
      <c r="D40" s="3" t="s">
        <v>12</v>
      </c>
      <c r="E40" s="3" t="s">
        <v>23</v>
      </c>
      <c r="F40" s="3" t="s">
        <v>82</v>
      </c>
      <c r="G40" s="0" t="n">
        <v>35</v>
      </c>
      <c r="H40" s="4" t="n">
        <v>732.9</v>
      </c>
      <c r="I40" s="0" t="n">
        <v>10</v>
      </c>
      <c r="J40" s="3" t="s">
        <v>40</v>
      </c>
    </row>
    <row r="41" customFormat="false" ht="15" hidden="false" customHeight="false" outlineLevel="0" collapsed="false">
      <c r="A41" s="0" t="s">
        <v>83</v>
      </c>
      <c r="B41" s="2" t="n">
        <v>45366</v>
      </c>
      <c r="C41" s="3" t="s">
        <v>17</v>
      </c>
      <c r="D41" s="3" t="s">
        <v>12</v>
      </c>
      <c r="E41" s="3" t="s">
        <v>44</v>
      </c>
      <c r="F41" s="3" t="s">
        <v>58</v>
      </c>
      <c r="G41" s="0" t="n">
        <v>28</v>
      </c>
      <c r="H41" s="4" t="n">
        <v>280.76</v>
      </c>
      <c r="I41" s="0" t="n">
        <v>5</v>
      </c>
      <c r="J41" s="3" t="s">
        <v>15</v>
      </c>
    </row>
    <row r="42" customFormat="false" ht="15" hidden="false" customHeight="false" outlineLevel="0" collapsed="false">
      <c r="A42" s="0" t="s">
        <v>84</v>
      </c>
      <c r="B42" s="2" t="n">
        <v>45552</v>
      </c>
      <c r="C42" s="3" t="s">
        <v>17</v>
      </c>
      <c r="D42" s="3" t="s">
        <v>22</v>
      </c>
      <c r="E42" s="3" t="s">
        <v>32</v>
      </c>
      <c r="F42" s="3" t="s">
        <v>33</v>
      </c>
      <c r="G42" s="0" t="n">
        <v>18</v>
      </c>
      <c r="H42" s="4" t="n">
        <v>101.69</v>
      </c>
      <c r="I42" s="0" t="n">
        <v>10</v>
      </c>
      <c r="J42" s="3" t="s">
        <v>19</v>
      </c>
    </row>
    <row r="43" customFormat="false" ht="15" hidden="false" customHeight="false" outlineLevel="0" collapsed="false">
      <c r="A43" s="0" t="s">
        <v>85</v>
      </c>
      <c r="B43" s="2" t="n">
        <v>45517</v>
      </c>
      <c r="C43" s="3" t="s">
        <v>11</v>
      </c>
      <c r="D43" s="3" t="s">
        <v>22</v>
      </c>
      <c r="E43" s="3" t="s">
        <v>44</v>
      </c>
      <c r="F43" s="3" t="s">
        <v>76</v>
      </c>
      <c r="G43" s="0" t="n">
        <v>12</v>
      </c>
      <c r="H43" s="4" t="n">
        <v>271.05</v>
      </c>
      <c r="I43" s="0" t="n">
        <v>5</v>
      </c>
      <c r="J43" s="3" t="s">
        <v>40</v>
      </c>
    </row>
    <row r="44" customFormat="false" ht="15" hidden="false" customHeight="false" outlineLevel="0" collapsed="false">
      <c r="A44" s="0" t="s">
        <v>86</v>
      </c>
      <c r="B44" s="2" t="n">
        <v>45357</v>
      </c>
      <c r="C44" s="3" t="s">
        <v>17</v>
      </c>
      <c r="D44" s="3" t="s">
        <v>29</v>
      </c>
      <c r="E44" s="3" t="s">
        <v>13</v>
      </c>
      <c r="F44" s="3" t="s">
        <v>64</v>
      </c>
      <c r="G44" s="0" t="n">
        <v>46</v>
      </c>
      <c r="H44" s="4" t="n">
        <v>130</v>
      </c>
      <c r="I44" s="0" t="n">
        <v>5</v>
      </c>
      <c r="J44" s="3" t="s">
        <v>15</v>
      </c>
    </row>
    <row r="45" customFormat="false" ht="15" hidden="false" customHeight="false" outlineLevel="0" collapsed="false">
      <c r="A45" s="0" t="s">
        <v>87</v>
      </c>
      <c r="B45" s="2" t="n">
        <v>45394</v>
      </c>
      <c r="C45" s="3" t="s">
        <v>26</v>
      </c>
      <c r="D45" s="3" t="s">
        <v>22</v>
      </c>
      <c r="E45" s="3" t="s">
        <v>32</v>
      </c>
      <c r="F45" s="3" t="s">
        <v>39</v>
      </c>
      <c r="G45" s="0" t="n">
        <v>40</v>
      </c>
      <c r="H45" s="4" t="n">
        <v>82.18</v>
      </c>
      <c r="I45" s="0" t="n">
        <v>20</v>
      </c>
      <c r="J45" s="3" t="s">
        <v>15</v>
      </c>
    </row>
    <row r="46" customFormat="false" ht="15" hidden="false" customHeight="false" outlineLevel="0" collapsed="false">
      <c r="A46" s="0" t="s">
        <v>88</v>
      </c>
      <c r="B46" s="2" t="n">
        <v>45373</v>
      </c>
      <c r="C46" s="3" t="s">
        <v>43</v>
      </c>
      <c r="D46" s="3" t="s">
        <v>22</v>
      </c>
      <c r="E46" s="3" t="s">
        <v>32</v>
      </c>
      <c r="F46" s="3" t="s">
        <v>62</v>
      </c>
      <c r="G46" s="0" t="n">
        <v>44</v>
      </c>
      <c r="H46" s="4" t="n">
        <v>48.61</v>
      </c>
      <c r="I46" s="0" t="n">
        <v>20</v>
      </c>
      <c r="J46" s="3" t="s">
        <v>15</v>
      </c>
    </row>
    <row r="47" customFormat="false" ht="15" hidden="false" customHeight="false" outlineLevel="0" collapsed="false">
      <c r="A47" s="0" t="s">
        <v>89</v>
      </c>
      <c r="B47" s="2" t="n">
        <v>45528</v>
      </c>
      <c r="C47" s="3" t="s">
        <v>43</v>
      </c>
      <c r="D47" s="3" t="s">
        <v>29</v>
      </c>
      <c r="E47" s="3" t="s">
        <v>44</v>
      </c>
      <c r="F47" s="3" t="s">
        <v>50</v>
      </c>
      <c r="G47" s="0" t="n">
        <v>26</v>
      </c>
      <c r="H47" s="4" t="n">
        <v>203.63</v>
      </c>
      <c r="I47" s="0" t="n">
        <v>20</v>
      </c>
      <c r="J47" s="3" t="s">
        <v>19</v>
      </c>
    </row>
    <row r="48" customFormat="false" ht="15" hidden="false" customHeight="false" outlineLevel="0" collapsed="false">
      <c r="A48" s="0" t="s">
        <v>90</v>
      </c>
      <c r="B48" s="2" t="n">
        <v>45362</v>
      </c>
      <c r="C48" s="3" t="s">
        <v>21</v>
      </c>
      <c r="D48" s="3" t="s">
        <v>27</v>
      </c>
      <c r="E48" s="3" t="s">
        <v>44</v>
      </c>
      <c r="F48" s="3" t="s">
        <v>76</v>
      </c>
      <c r="G48" s="0" t="n">
        <v>18</v>
      </c>
      <c r="H48" s="4" t="n">
        <v>111.98</v>
      </c>
      <c r="I48" s="0" t="n">
        <v>5</v>
      </c>
      <c r="J48" s="3" t="s">
        <v>19</v>
      </c>
    </row>
    <row r="49" customFormat="false" ht="15" hidden="false" customHeight="false" outlineLevel="0" collapsed="false">
      <c r="A49" s="0" t="s">
        <v>91</v>
      </c>
      <c r="B49" s="2" t="n">
        <v>45396</v>
      </c>
      <c r="C49" s="3" t="s">
        <v>17</v>
      </c>
      <c r="D49" s="3" t="s">
        <v>29</v>
      </c>
      <c r="E49" s="3" t="s">
        <v>13</v>
      </c>
      <c r="F49" s="3" t="s">
        <v>92</v>
      </c>
      <c r="G49" s="0" t="n">
        <v>28</v>
      </c>
      <c r="H49" s="4" t="n">
        <v>64.35</v>
      </c>
      <c r="I49" s="0" t="n">
        <v>20</v>
      </c>
      <c r="J49" s="3" t="s">
        <v>15</v>
      </c>
    </row>
    <row r="50" customFormat="false" ht="15" hidden="false" customHeight="false" outlineLevel="0" collapsed="false">
      <c r="A50" s="0" t="s">
        <v>93</v>
      </c>
      <c r="B50" s="2" t="n">
        <v>45502</v>
      </c>
      <c r="C50" s="3" t="s">
        <v>17</v>
      </c>
      <c r="D50" s="3" t="s">
        <v>27</v>
      </c>
      <c r="E50" s="3" t="s">
        <v>23</v>
      </c>
      <c r="F50" s="3" t="s">
        <v>79</v>
      </c>
      <c r="G50" s="0" t="n">
        <v>13</v>
      </c>
      <c r="H50" s="4" t="n">
        <v>837.9</v>
      </c>
      <c r="I50" s="0" t="n">
        <v>20</v>
      </c>
      <c r="J50" s="3" t="s">
        <v>19</v>
      </c>
    </row>
    <row r="51" customFormat="false" ht="15" hidden="false" customHeight="false" outlineLevel="0" collapsed="false">
      <c r="A51" s="0" t="s">
        <v>94</v>
      </c>
      <c r="B51" s="2" t="n">
        <v>45487</v>
      </c>
      <c r="C51" s="3" t="s">
        <v>43</v>
      </c>
      <c r="D51" s="3" t="s">
        <v>12</v>
      </c>
      <c r="E51" s="3" t="s">
        <v>32</v>
      </c>
      <c r="F51" s="3" t="s">
        <v>95</v>
      </c>
      <c r="G51" s="0" t="n">
        <v>9</v>
      </c>
      <c r="H51" s="4" t="n">
        <v>72.49</v>
      </c>
      <c r="I51" s="0" t="n">
        <v>5</v>
      </c>
      <c r="J51" s="3" t="s">
        <v>19</v>
      </c>
    </row>
    <row r="52" customFormat="false" ht="15" hidden="false" customHeight="false" outlineLevel="0" collapsed="false">
      <c r="A52" s="0" t="s">
        <v>96</v>
      </c>
      <c r="B52" s="2" t="n">
        <v>45589</v>
      </c>
      <c r="C52" s="3" t="s">
        <v>21</v>
      </c>
      <c r="D52" s="3" t="s">
        <v>29</v>
      </c>
      <c r="E52" s="3" t="s">
        <v>32</v>
      </c>
      <c r="F52" s="3" t="s">
        <v>95</v>
      </c>
      <c r="G52" s="0" t="n">
        <v>5</v>
      </c>
      <c r="H52" s="4" t="n">
        <v>69.07</v>
      </c>
      <c r="I52" s="0" t="n">
        <v>5</v>
      </c>
      <c r="J52" s="3" t="s">
        <v>19</v>
      </c>
    </row>
    <row r="53" customFormat="false" ht="15" hidden="false" customHeight="false" outlineLevel="0" collapsed="false">
      <c r="A53" s="0" t="s">
        <v>97</v>
      </c>
      <c r="B53" s="2" t="n">
        <v>45588</v>
      </c>
      <c r="C53" s="3" t="s">
        <v>31</v>
      </c>
      <c r="D53" s="3" t="s">
        <v>22</v>
      </c>
      <c r="E53" s="3" t="s">
        <v>32</v>
      </c>
      <c r="F53" s="3" t="s">
        <v>39</v>
      </c>
      <c r="G53" s="0" t="n">
        <v>9</v>
      </c>
      <c r="H53" s="4" t="n">
        <v>50.79</v>
      </c>
      <c r="I53" s="0" t="n">
        <v>10</v>
      </c>
      <c r="J53" s="3" t="s">
        <v>15</v>
      </c>
    </row>
    <row r="54" customFormat="false" ht="15" hidden="false" customHeight="false" outlineLevel="0" collapsed="false">
      <c r="A54" s="0" t="s">
        <v>98</v>
      </c>
      <c r="B54" s="2" t="n">
        <v>45415</v>
      </c>
      <c r="C54" s="3" t="s">
        <v>21</v>
      </c>
      <c r="D54" s="3" t="s">
        <v>27</v>
      </c>
      <c r="E54" s="3" t="s">
        <v>23</v>
      </c>
      <c r="F54" s="3" t="s">
        <v>82</v>
      </c>
      <c r="G54" s="0" t="n">
        <v>44</v>
      </c>
      <c r="H54" s="4" t="n">
        <v>991.4</v>
      </c>
      <c r="I54" s="0" t="n">
        <v>20</v>
      </c>
      <c r="J54" s="3" t="s">
        <v>15</v>
      </c>
    </row>
    <row r="55" customFormat="false" ht="15" hidden="false" customHeight="false" outlineLevel="0" collapsed="false">
      <c r="A55" s="0" t="s">
        <v>99</v>
      </c>
      <c r="B55" s="2" t="n">
        <v>45573</v>
      </c>
      <c r="C55" s="3" t="s">
        <v>17</v>
      </c>
      <c r="D55" s="3" t="s">
        <v>22</v>
      </c>
      <c r="E55" s="3" t="s">
        <v>23</v>
      </c>
      <c r="F55" s="3" t="s">
        <v>82</v>
      </c>
      <c r="G55" s="0" t="n">
        <v>37</v>
      </c>
      <c r="H55" s="4" t="n">
        <v>419.35</v>
      </c>
      <c r="I55" s="0" t="n">
        <v>20</v>
      </c>
      <c r="J55" s="3" t="s">
        <v>40</v>
      </c>
    </row>
    <row r="56" customFormat="false" ht="15" hidden="false" customHeight="false" outlineLevel="0" collapsed="false">
      <c r="A56" s="0" t="s">
        <v>100</v>
      </c>
      <c r="B56" s="2" t="n">
        <v>45616</v>
      </c>
      <c r="C56" s="3" t="s">
        <v>43</v>
      </c>
      <c r="D56" s="3" t="s">
        <v>27</v>
      </c>
      <c r="E56" s="3" t="s">
        <v>23</v>
      </c>
      <c r="F56" s="3" t="s">
        <v>79</v>
      </c>
      <c r="G56" s="0" t="n">
        <v>10</v>
      </c>
      <c r="H56" s="4" t="n">
        <v>281.07</v>
      </c>
      <c r="I56" s="0" t="n">
        <v>15</v>
      </c>
      <c r="J56" s="3" t="s">
        <v>15</v>
      </c>
    </row>
    <row r="57" customFormat="false" ht="15" hidden="false" customHeight="false" outlineLevel="0" collapsed="false">
      <c r="A57" s="0" t="s">
        <v>101</v>
      </c>
      <c r="B57" s="2" t="n">
        <v>45322</v>
      </c>
      <c r="C57" s="3" t="s">
        <v>31</v>
      </c>
      <c r="D57" s="3" t="s">
        <v>12</v>
      </c>
      <c r="E57" s="3" t="s">
        <v>23</v>
      </c>
      <c r="F57" s="3" t="s">
        <v>37</v>
      </c>
      <c r="G57" s="0" t="n">
        <v>47</v>
      </c>
      <c r="H57" s="4" t="n">
        <v>369.8</v>
      </c>
      <c r="I57" s="0" t="n">
        <v>15</v>
      </c>
      <c r="J57" s="3" t="s">
        <v>40</v>
      </c>
    </row>
    <row r="58" customFormat="false" ht="15" hidden="false" customHeight="false" outlineLevel="0" collapsed="false">
      <c r="A58" s="0" t="s">
        <v>102</v>
      </c>
      <c r="B58" s="2" t="n">
        <v>45314</v>
      </c>
      <c r="C58" s="3" t="s">
        <v>43</v>
      </c>
      <c r="D58" s="3" t="s">
        <v>12</v>
      </c>
      <c r="E58" s="3" t="s">
        <v>32</v>
      </c>
      <c r="F58" s="3" t="s">
        <v>39</v>
      </c>
      <c r="G58" s="0" t="n">
        <v>39</v>
      </c>
      <c r="H58" s="4" t="n">
        <v>109.82</v>
      </c>
      <c r="I58" s="0" t="n">
        <v>15</v>
      </c>
      <c r="J58" s="3" t="s">
        <v>15</v>
      </c>
    </row>
    <row r="59" customFormat="false" ht="15" hidden="false" customHeight="false" outlineLevel="0" collapsed="false">
      <c r="A59" s="0" t="s">
        <v>103</v>
      </c>
      <c r="B59" s="2" t="n">
        <v>45573</v>
      </c>
      <c r="C59" s="3" t="s">
        <v>21</v>
      </c>
      <c r="D59" s="3" t="s">
        <v>12</v>
      </c>
      <c r="E59" s="3" t="s">
        <v>23</v>
      </c>
      <c r="F59" s="3" t="s">
        <v>53</v>
      </c>
      <c r="G59" s="0" t="n">
        <v>20</v>
      </c>
      <c r="H59" s="4" t="n">
        <v>712.28</v>
      </c>
      <c r="I59" s="0" t="n">
        <v>5</v>
      </c>
      <c r="J59" s="3" t="s">
        <v>40</v>
      </c>
    </row>
    <row r="60" customFormat="false" ht="15" hidden="false" customHeight="false" outlineLevel="0" collapsed="false">
      <c r="A60" s="0" t="s">
        <v>104</v>
      </c>
      <c r="B60" s="2" t="n">
        <v>45524</v>
      </c>
      <c r="C60" s="3" t="s">
        <v>11</v>
      </c>
      <c r="D60" s="3" t="s">
        <v>22</v>
      </c>
      <c r="E60" s="3" t="s">
        <v>32</v>
      </c>
      <c r="F60" s="3" t="s">
        <v>62</v>
      </c>
      <c r="G60" s="0" t="n">
        <v>4</v>
      </c>
      <c r="H60" s="4" t="n">
        <v>60.19</v>
      </c>
      <c r="I60" s="0" t="n">
        <v>5</v>
      </c>
      <c r="J60" s="3" t="s">
        <v>15</v>
      </c>
    </row>
    <row r="61" customFormat="false" ht="15" hidden="false" customHeight="false" outlineLevel="0" collapsed="false">
      <c r="A61" s="0" t="s">
        <v>105</v>
      </c>
      <c r="B61" s="2" t="n">
        <v>45319</v>
      </c>
      <c r="C61" s="3" t="s">
        <v>11</v>
      </c>
      <c r="D61" s="3" t="s">
        <v>22</v>
      </c>
      <c r="E61" s="3" t="s">
        <v>23</v>
      </c>
      <c r="F61" s="3" t="s">
        <v>37</v>
      </c>
      <c r="G61" s="0" t="n">
        <v>13</v>
      </c>
      <c r="H61" s="4" t="n">
        <v>229.68</v>
      </c>
      <c r="I61" s="0" t="n">
        <v>15</v>
      </c>
      <c r="J61" s="3" t="s">
        <v>40</v>
      </c>
    </row>
    <row r="62" customFormat="false" ht="15" hidden="false" customHeight="false" outlineLevel="0" collapsed="false">
      <c r="A62" s="0" t="s">
        <v>106</v>
      </c>
      <c r="B62" s="2" t="n">
        <v>45342</v>
      </c>
      <c r="C62" s="3" t="s">
        <v>21</v>
      </c>
      <c r="D62" s="3" t="s">
        <v>22</v>
      </c>
      <c r="E62" s="3" t="s">
        <v>13</v>
      </c>
      <c r="F62" s="3" t="s">
        <v>73</v>
      </c>
      <c r="G62" s="0" t="n">
        <v>26</v>
      </c>
      <c r="H62" s="4" t="n">
        <v>39.24</v>
      </c>
      <c r="I62" s="0" t="n">
        <v>15</v>
      </c>
      <c r="J62" s="3" t="s">
        <v>15</v>
      </c>
    </row>
    <row r="63" customFormat="false" ht="15" hidden="false" customHeight="false" outlineLevel="0" collapsed="false">
      <c r="A63" s="0" t="s">
        <v>107</v>
      </c>
      <c r="B63" s="2" t="n">
        <v>45600</v>
      </c>
      <c r="C63" s="3" t="s">
        <v>26</v>
      </c>
      <c r="D63" s="3" t="s">
        <v>29</v>
      </c>
      <c r="E63" s="3" t="s">
        <v>23</v>
      </c>
      <c r="F63" s="3" t="s">
        <v>82</v>
      </c>
      <c r="G63" s="0" t="n">
        <v>32</v>
      </c>
      <c r="H63" s="4" t="n">
        <v>401.04</v>
      </c>
      <c r="I63" s="0" t="n">
        <v>15</v>
      </c>
      <c r="J63" s="3" t="s">
        <v>15</v>
      </c>
    </row>
    <row r="64" customFormat="false" ht="15" hidden="false" customHeight="false" outlineLevel="0" collapsed="false">
      <c r="A64" s="0" t="s">
        <v>108</v>
      </c>
      <c r="B64" s="2" t="n">
        <v>45627</v>
      </c>
      <c r="C64" s="3" t="s">
        <v>17</v>
      </c>
      <c r="D64" s="3" t="s">
        <v>29</v>
      </c>
      <c r="E64" s="3" t="s">
        <v>32</v>
      </c>
      <c r="F64" s="3" t="s">
        <v>33</v>
      </c>
      <c r="G64" s="0" t="n">
        <v>43</v>
      </c>
      <c r="H64" s="4" t="n">
        <v>115.8</v>
      </c>
      <c r="I64" s="0" t="n">
        <v>10</v>
      </c>
      <c r="J64" s="3" t="s">
        <v>19</v>
      </c>
    </row>
    <row r="65" customFormat="false" ht="15" hidden="false" customHeight="false" outlineLevel="0" collapsed="false">
      <c r="A65" s="0" t="s">
        <v>109</v>
      </c>
      <c r="B65" s="2" t="n">
        <v>45430</v>
      </c>
      <c r="C65" s="3" t="s">
        <v>17</v>
      </c>
      <c r="D65" s="3" t="s">
        <v>29</v>
      </c>
      <c r="E65" s="3" t="s">
        <v>13</v>
      </c>
      <c r="F65" s="3" t="s">
        <v>73</v>
      </c>
      <c r="G65" s="0" t="n">
        <v>29</v>
      </c>
      <c r="H65" s="4" t="n">
        <v>18.61</v>
      </c>
      <c r="I65" s="0" t="n">
        <v>20</v>
      </c>
      <c r="J65" s="3" t="s">
        <v>40</v>
      </c>
    </row>
    <row r="66" customFormat="false" ht="15" hidden="false" customHeight="false" outlineLevel="0" collapsed="false">
      <c r="A66" s="0" t="s">
        <v>110</v>
      </c>
      <c r="B66" s="2" t="n">
        <v>45338</v>
      </c>
      <c r="C66" s="3" t="s">
        <v>21</v>
      </c>
      <c r="D66" s="3" t="s">
        <v>22</v>
      </c>
      <c r="E66" s="3" t="s">
        <v>44</v>
      </c>
      <c r="F66" s="3" t="s">
        <v>50</v>
      </c>
      <c r="G66" s="0" t="n">
        <v>48</v>
      </c>
      <c r="H66" s="4" t="n">
        <v>718.99</v>
      </c>
      <c r="I66" s="0" t="n">
        <v>0</v>
      </c>
      <c r="J66" s="3" t="s">
        <v>15</v>
      </c>
    </row>
    <row r="67" customFormat="false" ht="15" hidden="false" customHeight="false" outlineLevel="0" collapsed="false">
      <c r="A67" s="0" t="s">
        <v>111</v>
      </c>
      <c r="B67" s="2" t="n">
        <v>45478</v>
      </c>
      <c r="C67" s="3" t="s">
        <v>43</v>
      </c>
      <c r="D67" s="3" t="s">
        <v>12</v>
      </c>
      <c r="E67" s="3" t="s">
        <v>23</v>
      </c>
      <c r="F67" s="3" t="s">
        <v>24</v>
      </c>
      <c r="G67" s="0" t="n">
        <v>36</v>
      </c>
      <c r="H67" s="4" t="n">
        <v>816.61</v>
      </c>
      <c r="I67" s="0" t="n">
        <v>15</v>
      </c>
      <c r="J67" s="3" t="s">
        <v>19</v>
      </c>
    </row>
    <row r="68" customFormat="false" ht="15" hidden="false" customHeight="false" outlineLevel="0" collapsed="false">
      <c r="A68" s="0" t="s">
        <v>112</v>
      </c>
      <c r="B68" s="2" t="n">
        <v>45435</v>
      </c>
      <c r="C68" s="3" t="s">
        <v>31</v>
      </c>
      <c r="D68" s="3" t="s">
        <v>12</v>
      </c>
      <c r="E68" s="3" t="s">
        <v>32</v>
      </c>
      <c r="F68" s="3" t="s">
        <v>69</v>
      </c>
      <c r="G68" s="0" t="n">
        <v>28</v>
      </c>
      <c r="H68" s="4" t="n">
        <v>107.59</v>
      </c>
      <c r="I68" s="0" t="n">
        <v>15</v>
      </c>
      <c r="J68" s="3" t="s">
        <v>15</v>
      </c>
    </row>
    <row r="69" customFormat="false" ht="15" hidden="false" customHeight="false" outlineLevel="0" collapsed="false">
      <c r="A69" s="0" t="s">
        <v>113</v>
      </c>
      <c r="B69" s="2" t="n">
        <v>45320</v>
      </c>
      <c r="C69" s="3" t="s">
        <v>11</v>
      </c>
      <c r="D69" s="3" t="s">
        <v>12</v>
      </c>
      <c r="E69" s="3" t="s">
        <v>44</v>
      </c>
      <c r="F69" s="3" t="s">
        <v>58</v>
      </c>
      <c r="G69" s="0" t="n">
        <v>40</v>
      </c>
      <c r="H69" s="4" t="n">
        <v>255.52</v>
      </c>
      <c r="I69" s="0" t="n">
        <v>5</v>
      </c>
      <c r="J69" s="3" t="s">
        <v>40</v>
      </c>
    </row>
    <row r="70" customFormat="false" ht="15" hidden="false" customHeight="false" outlineLevel="0" collapsed="false">
      <c r="A70" s="0" t="s">
        <v>114</v>
      </c>
      <c r="B70" s="2" t="n">
        <v>45354</v>
      </c>
      <c r="C70" s="3" t="s">
        <v>31</v>
      </c>
      <c r="D70" s="3" t="s">
        <v>12</v>
      </c>
      <c r="E70" s="3" t="s">
        <v>44</v>
      </c>
      <c r="F70" s="3" t="s">
        <v>58</v>
      </c>
      <c r="G70" s="0" t="n">
        <v>12</v>
      </c>
      <c r="H70" s="4" t="n">
        <v>494.23</v>
      </c>
      <c r="I70" s="0" t="n">
        <v>10</v>
      </c>
      <c r="J70" s="3" t="s">
        <v>40</v>
      </c>
    </row>
    <row r="71" customFormat="false" ht="15" hidden="false" customHeight="false" outlineLevel="0" collapsed="false">
      <c r="A71" s="0" t="s">
        <v>115</v>
      </c>
      <c r="B71" s="2" t="n">
        <v>45416</v>
      </c>
      <c r="C71" s="3" t="s">
        <v>43</v>
      </c>
      <c r="D71" s="3" t="s">
        <v>29</v>
      </c>
      <c r="E71" s="3" t="s">
        <v>44</v>
      </c>
      <c r="F71" s="3" t="s">
        <v>76</v>
      </c>
      <c r="G71" s="0" t="n">
        <v>5</v>
      </c>
      <c r="H71" s="4" t="n">
        <v>756.39</v>
      </c>
      <c r="I71" s="0" t="n">
        <v>15</v>
      </c>
      <c r="J71" s="3" t="s">
        <v>19</v>
      </c>
    </row>
    <row r="72" customFormat="false" ht="15" hidden="false" customHeight="false" outlineLevel="0" collapsed="false">
      <c r="A72" s="0" t="s">
        <v>116</v>
      </c>
      <c r="B72" s="2" t="n">
        <v>45408</v>
      </c>
      <c r="C72" s="3" t="s">
        <v>17</v>
      </c>
      <c r="D72" s="3" t="s">
        <v>22</v>
      </c>
      <c r="E72" s="3" t="s">
        <v>32</v>
      </c>
      <c r="F72" s="3" t="s">
        <v>33</v>
      </c>
      <c r="G72" s="0" t="n">
        <v>29</v>
      </c>
      <c r="H72" s="4" t="n">
        <v>33.55</v>
      </c>
      <c r="I72" s="0" t="n">
        <v>20</v>
      </c>
      <c r="J72" s="3" t="s">
        <v>40</v>
      </c>
    </row>
    <row r="73" customFormat="false" ht="15" hidden="false" customHeight="false" outlineLevel="0" collapsed="false">
      <c r="A73" s="0" t="s">
        <v>117</v>
      </c>
      <c r="B73" s="2" t="n">
        <v>45646</v>
      </c>
      <c r="C73" s="3" t="s">
        <v>17</v>
      </c>
      <c r="D73" s="3" t="s">
        <v>22</v>
      </c>
      <c r="E73" s="3" t="s">
        <v>23</v>
      </c>
      <c r="F73" s="3" t="s">
        <v>37</v>
      </c>
      <c r="G73" s="0" t="n">
        <v>1</v>
      </c>
      <c r="H73" s="4" t="n">
        <v>156.29</v>
      </c>
      <c r="I73" s="0" t="n">
        <v>5</v>
      </c>
      <c r="J73" s="3" t="s">
        <v>15</v>
      </c>
    </row>
    <row r="74" customFormat="false" ht="15" hidden="false" customHeight="false" outlineLevel="0" collapsed="false">
      <c r="A74" s="0" t="s">
        <v>118</v>
      </c>
      <c r="B74" s="2" t="n">
        <v>45306</v>
      </c>
      <c r="C74" s="3" t="s">
        <v>17</v>
      </c>
      <c r="D74" s="3" t="s">
        <v>22</v>
      </c>
      <c r="E74" s="3" t="s">
        <v>44</v>
      </c>
      <c r="F74" s="3" t="s">
        <v>47</v>
      </c>
      <c r="G74" s="0" t="n">
        <v>1</v>
      </c>
      <c r="H74" s="4" t="n">
        <v>787.56</v>
      </c>
      <c r="I74" s="0" t="n">
        <v>20</v>
      </c>
      <c r="J74" s="3" t="s">
        <v>40</v>
      </c>
    </row>
    <row r="75" customFormat="false" ht="15" hidden="false" customHeight="false" outlineLevel="0" collapsed="false">
      <c r="A75" s="0" t="s">
        <v>119</v>
      </c>
      <c r="B75" s="2" t="n">
        <v>45427</v>
      </c>
      <c r="C75" s="3" t="s">
        <v>17</v>
      </c>
      <c r="D75" s="3" t="s">
        <v>27</v>
      </c>
      <c r="E75" s="3" t="s">
        <v>23</v>
      </c>
      <c r="F75" s="3" t="s">
        <v>53</v>
      </c>
      <c r="G75" s="0" t="n">
        <v>4</v>
      </c>
      <c r="H75" s="4" t="n">
        <v>704.89</v>
      </c>
      <c r="I75" s="0" t="n">
        <v>10</v>
      </c>
      <c r="J75" s="3" t="s">
        <v>19</v>
      </c>
    </row>
    <row r="76" customFormat="false" ht="15" hidden="false" customHeight="false" outlineLevel="0" collapsed="false">
      <c r="A76" s="0" t="s">
        <v>120</v>
      </c>
      <c r="B76" s="2" t="n">
        <v>45636</v>
      </c>
      <c r="C76" s="3" t="s">
        <v>21</v>
      </c>
      <c r="D76" s="3" t="s">
        <v>29</v>
      </c>
      <c r="E76" s="3" t="s">
        <v>13</v>
      </c>
      <c r="F76" s="3" t="s">
        <v>64</v>
      </c>
      <c r="G76" s="0" t="n">
        <v>43</v>
      </c>
      <c r="H76" s="4" t="n">
        <v>50.62</v>
      </c>
      <c r="I76" s="0" t="n">
        <v>0</v>
      </c>
      <c r="J76" s="3" t="s">
        <v>40</v>
      </c>
    </row>
    <row r="77" customFormat="false" ht="15" hidden="false" customHeight="false" outlineLevel="0" collapsed="false">
      <c r="A77" s="0" t="s">
        <v>121</v>
      </c>
      <c r="B77" s="2" t="n">
        <v>45470</v>
      </c>
      <c r="C77" s="3" t="s">
        <v>31</v>
      </c>
      <c r="D77" s="3" t="s">
        <v>22</v>
      </c>
      <c r="E77" s="3" t="s">
        <v>13</v>
      </c>
      <c r="F77" s="3" t="s">
        <v>64</v>
      </c>
      <c r="G77" s="0" t="n">
        <v>26</v>
      </c>
      <c r="H77" s="4" t="n">
        <v>87.3</v>
      </c>
      <c r="I77" s="0" t="n">
        <v>15</v>
      </c>
      <c r="J77" s="3" t="s">
        <v>40</v>
      </c>
    </row>
    <row r="78" customFormat="false" ht="15" hidden="false" customHeight="false" outlineLevel="0" collapsed="false">
      <c r="A78" s="0" t="s">
        <v>122</v>
      </c>
      <c r="B78" s="2" t="n">
        <v>45642</v>
      </c>
      <c r="C78" s="3" t="s">
        <v>11</v>
      </c>
      <c r="D78" s="3" t="s">
        <v>27</v>
      </c>
      <c r="E78" s="3" t="s">
        <v>32</v>
      </c>
      <c r="F78" s="3" t="s">
        <v>62</v>
      </c>
      <c r="G78" s="0" t="n">
        <v>9</v>
      </c>
      <c r="H78" s="4" t="n">
        <v>35.97</v>
      </c>
      <c r="I78" s="0" t="n">
        <v>15</v>
      </c>
      <c r="J78" s="3" t="s">
        <v>19</v>
      </c>
    </row>
    <row r="79" customFormat="false" ht="15" hidden="false" customHeight="false" outlineLevel="0" collapsed="false">
      <c r="A79" s="0" t="s">
        <v>123</v>
      </c>
      <c r="B79" s="2" t="n">
        <v>45556</v>
      </c>
      <c r="C79" s="3" t="s">
        <v>11</v>
      </c>
      <c r="D79" s="3" t="s">
        <v>22</v>
      </c>
      <c r="E79" s="3" t="s">
        <v>13</v>
      </c>
      <c r="F79" s="3" t="s">
        <v>73</v>
      </c>
      <c r="G79" s="0" t="n">
        <v>7</v>
      </c>
      <c r="H79" s="4" t="n">
        <v>102.72</v>
      </c>
      <c r="I79" s="0" t="n">
        <v>5</v>
      </c>
      <c r="J79" s="3" t="s">
        <v>40</v>
      </c>
    </row>
    <row r="80" customFormat="false" ht="15" hidden="false" customHeight="false" outlineLevel="0" collapsed="false">
      <c r="A80" s="0" t="s">
        <v>124</v>
      </c>
      <c r="B80" s="2" t="n">
        <v>45575</v>
      </c>
      <c r="C80" s="3" t="s">
        <v>26</v>
      </c>
      <c r="D80" s="3" t="s">
        <v>29</v>
      </c>
      <c r="E80" s="3" t="s">
        <v>23</v>
      </c>
      <c r="F80" s="3" t="s">
        <v>53</v>
      </c>
      <c r="G80" s="0" t="n">
        <v>49</v>
      </c>
      <c r="H80" s="4" t="n">
        <v>277.49</v>
      </c>
      <c r="I80" s="0" t="n">
        <v>15</v>
      </c>
      <c r="J80" s="3" t="s">
        <v>15</v>
      </c>
    </row>
    <row r="81" customFormat="false" ht="15" hidden="false" customHeight="false" outlineLevel="0" collapsed="false">
      <c r="A81" s="0" t="s">
        <v>125</v>
      </c>
      <c r="B81" s="2" t="n">
        <v>45370</v>
      </c>
      <c r="C81" s="3" t="s">
        <v>26</v>
      </c>
      <c r="D81" s="3" t="s">
        <v>22</v>
      </c>
      <c r="E81" s="3" t="s">
        <v>32</v>
      </c>
      <c r="F81" s="3" t="s">
        <v>69</v>
      </c>
      <c r="G81" s="0" t="n">
        <v>21</v>
      </c>
      <c r="H81" s="4" t="n">
        <v>48.94</v>
      </c>
      <c r="I81" s="0" t="n">
        <v>5</v>
      </c>
      <c r="J81" s="3" t="s">
        <v>19</v>
      </c>
    </row>
    <row r="82" customFormat="false" ht="15" hidden="false" customHeight="false" outlineLevel="0" collapsed="false">
      <c r="A82" s="0" t="s">
        <v>126</v>
      </c>
      <c r="B82" s="2" t="n">
        <v>45594</v>
      </c>
      <c r="C82" s="3" t="s">
        <v>26</v>
      </c>
      <c r="D82" s="3" t="s">
        <v>12</v>
      </c>
      <c r="E82" s="3" t="s">
        <v>44</v>
      </c>
      <c r="F82" s="3" t="s">
        <v>45</v>
      </c>
      <c r="G82" s="0" t="n">
        <v>44</v>
      </c>
      <c r="H82" s="4" t="n">
        <v>213.32</v>
      </c>
      <c r="I82" s="0" t="n">
        <v>15</v>
      </c>
      <c r="J82" s="3" t="s">
        <v>15</v>
      </c>
    </row>
    <row r="83" customFormat="false" ht="15" hidden="false" customHeight="false" outlineLevel="0" collapsed="false">
      <c r="A83" s="0" t="s">
        <v>127</v>
      </c>
      <c r="B83" s="2" t="n">
        <v>45333</v>
      </c>
      <c r="C83" s="3" t="s">
        <v>26</v>
      </c>
      <c r="D83" s="3" t="s">
        <v>22</v>
      </c>
      <c r="E83" s="3" t="s">
        <v>13</v>
      </c>
      <c r="F83" s="3" t="s">
        <v>18</v>
      </c>
      <c r="G83" s="0" t="n">
        <v>43</v>
      </c>
      <c r="H83" s="4" t="n">
        <v>93.78</v>
      </c>
      <c r="I83" s="0" t="n">
        <v>10</v>
      </c>
      <c r="J83" s="3" t="s">
        <v>40</v>
      </c>
    </row>
    <row r="84" customFormat="false" ht="15" hidden="false" customHeight="false" outlineLevel="0" collapsed="false">
      <c r="A84" s="0" t="s">
        <v>128</v>
      </c>
      <c r="B84" s="2" t="n">
        <v>45624</v>
      </c>
      <c r="C84" s="3" t="s">
        <v>17</v>
      </c>
      <c r="D84" s="3" t="s">
        <v>27</v>
      </c>
      <c r="E84" s="3" t="s">
        <v>44</v>
      </c>
      <c r="F84" s="3" t="s">
        <v>58</v>
      </c>
      <c r="G84" s="0" t="n">
        <v>15</v>
      </c>
      <c r="H84" s="4" t="n">
        <v>116.46</v>
      </c>
      <c r="I84" s="0" t="n">
        <v>5</v>
      </c>
      <c r="J84" s="3" t="s">
        <v>40</v>
      </c>
    </row>
    <row r="85" customFormat="false" ht="15" hidden="false" customHeight="false" outlineLevel="0" collapsed="false">
      <c r="A85" s="0" t="s">
        <v>129</v>
      </c>
      <c r="B85" s="2" t="n">
        <v>45393</v>
      </c>
      <c r="C85" s="3" t="s">
        <v>21</v>
      </c>
      <c r="D85" s="3" t="s">
        <v>12</v>
      </c>
      <c r="E85" s="3" t="s">
        <v>44</v>
      </c>
      <c r="F85" s="3" t="s">
        <v>76</v>
      </c>
      <c r="G85" s="0" t="n">
        <v>9</v>
      </c>
      <c r="H85" s="4" t="n">
        <v>447.52</v>
      </c>
      <c r="I85" s="0" t="n">
        <v>10</v>
      </c>
      <c r="J85" s="3" t="s">
        <v>40</v>
      </c>
    </row>
    <row r="86" customFormat="false" ht="15" hidden="false" customHeight="false" outlineLevel="0" collapsed="false">
      <c r="A86" s="0" t="s">
        <v>130</v>
      </c>
      <c r="B86" s="2" t="n">
        <v>45649</v>
      </c>
      <c r="C86" s="3" t="s">
        <v>17</v>
      </c>
      <c r="D86" s="3" t="s">
        <v>29</v>
      </c>
      <c r="E86" s="3" t="s">
        <v>44</v>
      </c>
      <c r="F86" s="3" t="s">
        <v>76</v>
      </c>
      <c r="G86" s="0" t="n">
        <v>44</v>
      </c>
      <c r="H86" s="4" t="n">
        <v>587.53</v>
      </c>
      <c r="I86" s="0" t="n">
        <v>0</v>
      </c>
      <c r="J86" s="3" t="s">
        <v>15</v>
      </c>
    </row>
    <row r="87" customFormat="false" ht="15" hidden="false" customHeight="false" outlineLevel="0" collapsed="false">
      <c r="A87" s="0" t="s">
        <v>131</v>
      </c>
      <c r="B87" s="2" t="n">
        <v>45407</v>
      </c>
      <c r="C87" s="3" t="s">
        <v>11</v>
      </c>
      <c r="D87" s="3" t="s">
        <v>27</v>
      </c>
      <c r="E87" s="3" t="s">
        <v>23</v>
      </c>
      <c r="F87" s="3" t="s">
        <v>37</v>
      </c>
      <c r="G87" s="0" t="n">
        <v>23</v>
      </c>
      <c r="H87" s="4" t="n">
        <v>910.64</v>
      </c>
      <c r="I87" s="0" t="n">
        <v>20</v>
      </c>
      <c r="J87" s="3" t="s">
        <v>15</v>
      </c>
    </row>
    <row r="88" customFormat="false" ht="15" hidden="false" customHeight="false" outlineLevel="0" collapsed="false">
      <c r="A88" s="0" t="s">
        <v>132</v>
      </c>
      <c r="B88" s="2" t="n">
        <v>45335</v>
      </c>
      <c r="C88" s="3" t="s">
        <v>17</v>
      </c>
      <c r="D88" s="3" t="s">
        <v>22</v>
      </c>
      <c r="E88" s="3" t="s">
        <v>13</v>
      </c>
      <c r="F88" s="3" t="s">
        <v>18</v>
      </c>
      <c r="G88" s="0" t="n">
        <v>7</v>
      </c>
      <c r="H88" s="4" t="n">
        <v>112.63</v>
      </c>
      <c r="I88" s="0" t="n">
        <v>5</v>
      </c>
      <c r="J88" s="3" t="s">
        <v>15</v>
      </c>
    </row>
    <row r="89" customFormat="false" ht="15" hidden="false" customHeight="false" outlineLevel="0" collapsed="false">
      <c r="A89" s="0" t="s">
        <v>133</v>
      </c>
      <c r="B89" s="2" t="n">
        <v>45299</v>
      </c>
      <c r="C89" s="3" t="s">
        <v>21</v>
      </c>
      <c r="D89" s="3" t="s">
        <v>22</v>
      </c>
      <c r="E89" s="3" t="s">
        <v>23</v>
      </c>
      <c r="F89" s="3" t="s">
        <v>53</v>
      </c>
      <c r="G89" s="0" t="n">
        <v>43</v>
      </c>
      <c r="H89" s="4" t="n">
        <v>632.07</v>
      </c>
      <c r="I89" s="0" t="n">
        <v>20</v>
      </c>
      <c r="J89" s="3" t="s">
        <v>40</v>
      </c>
    </row>
    <row r="90" customFormat="false" ht="15" hidden="false" customHeight="false" outlineLevel="0" collapsed="false">
      <c r="A90" s="0" t="s">
        <v>134</v>
      </c>
      <c r="B90" s="2" t="n">
        <v>45442</v>
      </c>
      <c r="C90" s="3" t="s">
        <v>31</v>
      </c>
      <c r="D90" s="3" t="s">
        <v>27</v>
      </c>
      <c r="E90" s="3" t="s">
        <v>44</v>
      </c>
      <c r="F90" s="3" t="s">
        <v>76</v>
      </c>
      <c r="G90" s="0" t="n">
        <v>22</v>
      </c>
      <c r="H90" s="4" t="n">
        <v>535.78</v>
      </c>
      <c r="I90" s="0" t="n">
        <v>20</v>
      </c>
      <c r="J90" s="3" t="s">
        <v>40</v>
      </c>
    </row>
    <row r="91" customFormat="false" ht="15" hidden="false" customHeight="false" outlineLevel="0" collapsed="false">
      <c r="A91" s="0" t="s">
        <v>135</v>
      </c>
      <c r="B91" s="2" t="n">
        <v>45339</v>
      </c>
      <c r="C91" s="3" t="s">
        <v>17</v>
      </c>
      <c r="D91" s="3" t="s">
        <v>29</v>
      </c>
      <c r="E91" s="3" t="s">
        <v>32</v>
      </c>
      <c r="F91" s="3" t="s">
        <v>69</v>
      </c>
      <c r="G91" s="0" t="n">
        <v>17</v>
      </c>
      <c r="H91" s="4" t="n">
        <v>67.17</v>
      </c>
      <c r="I91" s="0" t="n">
        <v>5</v>
      </c>
      <c r="J91" s="3" t="s">
        <v>19</v>
      </c>
    </row>
    <row r="92" customFormat="false" ht="15" hidden="false" customHeight="false" outlineLevel="0" collapsed="false">
      <c r="A92" s="0" t="s">
        <v>136</v>
      </c>
      <c r="B92" s="2" t="n">
        <v>45605</v>
      </c>
      <c r="C92" s="3" t="s">
        <v>21</v>
      </c>
      <c r="D92" s="3" t="s">
        <v>12</v>
      </c>
      <c r="E92" s="3" t="s">
        <v>32</v>
      </c>
      <c r="F92" s="3" t="s">
        <v>39</v>
      </c>
      <c r="G92" s="0" t="n">
        <v>9</v>
      </c>
      <c r="H92" s="4" t="n">
        <v>100.28</v>
      </c>
      <c r="I92" s="0" t="n">
        <v>0</v>
      </c>
      <c r="J92" s="3" t="s">
        <v>40</v>
      </c>
    </row>
    <row r="93" customFormat="false" ht="15" hidden="false" customHeight="false" outlineLevel="0" collapsed="false">
      <c r="A93" s="0" t="s">
        <v>137</v>
      </c>
      <c r="B93" s="2" t="n">
        <v>45655</v>
      </c>
      <c r="C93" s="3" t="s">
        <v>17</v>
      </c>
      <c r="D93" s="3" t="s">
        <v>22</v>
      </c>
      <c r="E93" s="3" t="s">
        <v>32</v>
      </c>
      <c r="F93" s="3" t="s">
        <v>62</v>
      </c>
      <c r="G93" s="0" t="n">
        <v>44</v>
      </c>
      <c r="H93" s="4" t="n">
        <v>26.38</v>
      </c>
      <c r="I93" s="0" t="n">
        <v>20</v>
      </c>
      <c r="J93" s="3" t="s">
        <v>40</v>
      </c>
    </row>
    <row r="94" customFormat="false" ht="15" hidden="false" customHeight="false" outlineLevel="0" collapsed="false">
      <c r="A94" s="0" t="s">
        <v>138</v>
      </c>
      <c r="B94" s="2" t="n">
        <v>45523</v>
      </c>
      <c r="C94" s="3" t="s">
        <v>17</v>
      </c>
      <c r="D94" s="3" t="s">
        <v>12</v>
      </c>
      <c r="E94" s="3" t="s">
        <v>23</v>
      </c>
      <c r="F94" s="3" t="s">
        <v>53</v>
      </c>
      <c r="G94" s="0" t="n">
        <v>32</v>
      </c>
      <c r="H94" s="4" t="n">
        <v>918.53</v>
      </c>
      <c r="I94" s="0" t="n">
        <v>0</v>
      </c>
      <c r="J94" s="3" t="s">
        <v>19</v>
      </c>
    </row>
    <row r="95" customFormat="false" ht="15" hidden="false" customHeight="false" outlineLevel="0" collapsed="false">
      <c r="A95" s="0" t="s">
        <v>139</v>
      </c>
      <c r="B95" s="2" t="n">
        <v>45505</v>
      </c>
      <c r="C95" s="3" t="s">
        <v>17</v>
      </c>
      <c r="D95" s="3" t="s">
        <v>29</v>
      </c>
      <c r="E95" s="3" t="s">
        <v>32</v>
      </c>
      <c r="F95" s="3" t="s">
        <v>95</v>
      </c>
      <c r="G95" s="0" t="n">
        <v>3</v>
      </c>
      <c r="H95" s="4" t="n">
        <v>55.07</v>
      </c>
      <c r="I95" s="0" t="n">
        <v>10</v>
      </c>
      <c r="J95" s="3" t="s">
        <v>40</v>
      </c>
    </row>
    <row r="96" customFormat="false" ht="15" hidden="false" customHeight="false" outlineLevel="0" collapsed="false">
      <c r="A96" s="0" t="s">
        <v>140</v>
      </c>
      <c r="B96" s="2" t="n">
        <v>45548</v>
      </c>
      <c r="C96" s="3" t="s">
        <v>11</v>
      </c>
      <c r="D96" s="3" t="s">
        <v>22</v>
      </c>
      <c r="E96" s="3" t="s">
        <v>23</v>
      </c>
      <c r="F96" s="3" t="s">
        <v>37</v>
      </c>
      <c r="G96" s="0" t="n">
        <v>12</v>
      </c>
      <c r="H96" s="4" t="n">
        <v>1169.01</v>
      </c>
      <c r="I96" s="0" t="n">
        <v>15</v>
      </c>
      <c r="J96" s="3" t="s">
        <v>40</v>
      </c>
    </row>
    <row r="97" customFormat="false" ht="15" hidden="false" customHeight="false" outlineLevel="0" collapsed="false">
      <c r="A97" s="0" t="s">
        <v>141</v>
      </c>
      <c r="B97" s="2" t="n">
        <v>45586</v>
      </c>
      <c r="C97" s="3" t="s">
        <v>31</v>
      </c>
      <c r="D97" s="3" t="s">
        <v>29</v>
      </c>
      <c r="E97" s="3" t="s">
        <v>44</v>
      </c>
      <c r="F97" s="3" t="s">
        <v>50</v>
      </c>
      <c r="G97" s="0" t="n">
        <v>45</v>
      </c>
      <c r="H97" s="4" t="n">
        <v>301.78</v>
      </c>
      <c r="I97" s="0" t="n">
        <v>20</v>
      </c>
      <c r="J97" s="3" t="s">
        <v>19</v>
      </c>
    </row>
    <row r="98" customFormat="false" ht="15" hidden="false" customHeight="false" outlineLevel="0" collapsed="false">
      <c r="A98" s="0" t="s">
        <v>142</v>
      </c>
      <c r="B98" s="2" t="n">
        <v>45325</v>
      </c>
      <c r="C98" s="3" t="s">
        <v>11</v>
      </c>
      <c r="D98" s="3" t="s">
        <v>27</v>
      </c>
      <c r="E98" s="3" t="s">
        <v>32</v>
      </c>
      <c r="F98" s="3" t="s">
        <v>62</v>
      </c>
      <c r="G98" s="0" t="n">
        <v>1</v>
      </c>
      <c r="H98" s="4" t="n">
        <v>109.73</v>
      </c>
      <c r="I98" s="0" t="n">
        <v>5</v>
      </c>
      <c r="J98" s="3" t="s">
        <v>19</v>
      </c>
    </row>
    <row r="99" customFormat="false" ht="15" hidden="false" customHeight="false" outlineLevel="0" collapsed="false">
      <c r="A99" s="0" t="s">
        <v>143</v>
      </c>
      <c r="B99" s="2" t="n">
        <v>45375</v>
      </c>
      <c r="C99" s="3" t="s">
        <v>17</v>
      </c>
      <c r="D99" s="3" t="s">
        <v>12</v>
      </c>
      <c r="E99" s="3" t="s">
        <v>32</v>
      </c>
      <c r="F99" s="3" t="s">
        <v>62</v>
      </c>
      <c r="G99" s="0" t="n">
        <v>8</v>
      </c>
      <c r="H99" s="4" t="n">
        <v>37.42</v>
      </c>
      <c r="I99" s="0" t="n">
        <v>10</v>
      </c>
      <c r="J99" s="3" t="s">
        <v>40</v>
      </c>
    </row>
    <row r="100" customFormat="false" ht="15" hidden="false" customHeight="false" outlineLevel="0" collapsed="false">
      <c r="A100" s="0" t="s">
        <v>144</v>
      </c>
      <c r="B100" s="2" t="n">
        <v>45614</v>
      </c>
      <c r="C100" s="3" t="s">
        <v>21</v>
      </c>
      <c r="D100" s="3" t="s">
        <v>22</v>
      </c>
      <c r="E100" s="3" t="s">
        <v>32</v>
      </c>
      <c r="F100" s="3" t="s">
        <v>69</v>
      </c>
      <c r="G100" s="0" t="n">
        <v>47</v>
      </c>
      <c r="H100" s="4" t="n">
        <v>65.48</v>
      </c>
      <c r="I100" s="0" t="n">
        <v>5</v>
      </c>
      <c r="J100" s="3" t="s">
        <v>19</v>
      </c>
    </row>
    <row r="101" customFormat="false" ht="15" hidden="false" customHeight="false" outlineLevel="0" collapsed="false">
      <c r="A101" s="0" t="s">
        <v>145</v>
      </c>
      <c r="B101" s="2" t="n">
        <v>45609</v>
      </c>
      <c r="C101" s="3" t="s">
        <v>11</v>
      </c>
      <c r="D101" s="3" t="s">
        <v>12</v>
      </c>
      <c r="E101" s="3" t="s">
        <v>13</v>
      </c>
      <c r="F101" s="3" t="s">
        <v>73</v>
      </c>
      <c r="G101" s="0" t="n">
        <v>18</v>
      </c>
      <c r="H101" s="4" t="n">
        <v>19.01</v>
      </c>
      <c r="I101" s="0" t="n">
        <v>15</v>
      </c>
      <c r="J101" s="3" t="s">
        <v>40</v>
      </c>
    </row>
    <row r="102" customFormat="false" ht="15" hidden="false" customHeight="false" outlineLevel="0" collapsed="false">
      <c r="A102" s="0" t="s">
        <v>146</v>
      </c>
      <c r="B102" s="2" t="n">
        <v>45342</v>
      </c>
      <c r="C102" s="3" t="s">
        <v>17</v>
      </c>
      <c r="D102" s="3" t="s">
        <v>29</v>
      </c>
      <c r="E102" s="3" t="s">
        <v>13</v>
      </c>
      <c r="F102" s="3" t="s">
        <v>14</v>
      </c>
      <c r="G102" s="0" t="n">
        <v>4</v>
      </c>
      <c r="H102" s="4" t="n">
        <v>122.68</v>
      </c>
      <c r="I102" s="0" t="n">
        <v>15</v>
      </c>
      <c r="J102" s="3" t="s">
        <v>40</v>
      </c>
    </row>
    <row r="103" customFormat="false" ht="15" hidden="false" customHeight="false" outlineLevel="0" collapsed="false">
      <c r="A103" s="0" t="s">
        <v>147</v>
      </c>
      <c r="B103" s="2" t="n">
        <v>45548</v>
      </c>
      <c r="C103" s="3" t="s">
        <v>11</v>
      </c>
      <c r="D103" s="3" t="s">
        <v>12</v>
      </c>
      <c r="E103" s="3" t="s">
        <v>44</v>
      </c>
      <c r="F103" s="3" t="s">
        <v>58</v>
      </c>
      <c r="G103" s="0" t="n">
        <v>25</v>
      </c>
      <c r="H103" s="4" t="n">
        <v>351.93</v>
      </c>
      <c r="I103" s="0" t="n">
        <v>5</v>
      </c>
      <c r="J103" s="3" t="s">
        <v>15</v>
      </c>
    </row>
    <row r="104" customFormat="false" ht="15" hidden="false" customHeight="false" outlineLevel="0" collapsed="false">
      <c r="A104" s="0" t="s">
        <v>148</v>
      </c>
      <c r="B104" s="2" t="n">
        <v>45602</v>
      </c>
      <c r="C104" s="3" t="s">
        <v>11</v>
      </c>
      <c r="D104" s="3" t="s">
        <v>22</v>
      </c>
      <c r="E104" s="3" t="s">
        <v>23</v>
      </c>
      <c r="F104" s="3" t="s">
        <v>53</v>
      </c>
      <c r="G104" s="0" t="n">
        <v>33</v>
      </c>
      <c r="H104" s="4" t="n">
        <v>490.88</v>
      </c>
      <c r="I104" s="0" t="n">
        <v>15</v>
      </c>
      <c r="J104" s="3" t="s">
        <v>40</v>
      </c>
    </row>
    <row r="105" customFormat="false" ht="15" hidden="false" customHeight="false" outlineLevel="0" collapsed="false">
      <c r="A105" s="0" t="s">
        <v>149</v>
      </c>
      <c r="B105" s="2" t="n">
        <v>45367</v>
      </c>
      <c r="C105" s="3" t="s">
        <v>21</v>
      </c>
      <c r="D105" s="3" t="s">
        <v>29</v>
      </c>
      <c r="E105" s="3" t="s">
        <v>32</v>
      </c>
      <c r="F105" s="3" t="s">
        <v>33</v>
      </c>
      <c r="G105" s="0" t="n">
        <v>43</v>
      </c>
      <c r="H105" s="4" t="n">
        <v>28.01</v>
      </c>
      <c r="I105" s="0" t="n">
        <v>20</v>
      </c>
      <c r="J105" s="3" t="s">
        <v>40</v>
      </c>
    </row>
    <row r="106" customFormat="false" ht="15" hidden="false" customHeight="false" outlineLevel="0" collapsed="false">
      <c r="A106" s="0" t="s">
        <v>150</v>
      </c>
      <c r="B106" s="2" t="n">
        <v>45507</v>
      </c>
      <c r="C106" s="3" t="s">
        <v>17</v>
      </c>
      <c r="D106" s="3" t="s">
        <v>27</v>
      </c>
      <c r="E106" s="3" t="s">
        <v>44</v>
      </c>
      <c r="F106" s="3" t="s">
        <v>76</v>
      </c>
      <c r="G106" s="0" t="n">
        <v>47</v>
      </c>
      <c r="H106" s="4" t="n">
        <v>672.07</v>
      </c>
      <c r="I106" s="0" t="n">
        <v>5</v>
      </c>
      <c r="J106" s="3" t="s">
        <v>15</v>
      </c>
    </row>
    <row r="107" customFormat="false" ht="15" hidden="false" customHeight="false" outlineLevel="0" collapsed="false">
      <c r="A107" s="0" t="s">
        <v>151</v>
      </c>
      <c r="B107" s="2" t="n">
        <v>45655</v>
      </c>
      <c r="C107" s="3" t="s">
        <v>31</v>
      </c>
      <c r="D107" s="3" t="s">
        <v>29</v>
      </c>
      <c r="E107" s="3" t="s">
        <v>13</v>
      </c>
      <c r="F107" s="3" t="s">
        <v>92</v>
      </c>
      <c r="G107" s="0" t="n">
        <v>35</v>
      </c>
      <c r="H107" s="4" t="n">
        <v>129.92</v>
      </c>
      <c r="I107" s="0" t="n">
        <v>5</v>
      </c>
      <c r="J107" s="3" t="s">
        <v>19</v>
      </c>
    </row>
    <row r="108" customFormat="false" ht="15" hidden="false" customHeight="false" outlineLevel="0" collapsed="false">
      <c r="A108" s="0" t="s">
        <v>152</v>
      </c>
      <c r="B108" s="2" t="n">
        <v>45642</v>
      </c>
      <c r="C108" s="3" t="s">
        <v>43</v>
      </c>
      <c r="D108" s="3" t="s">
        <v>29</v>
      </c>
      <c r="E108" s="3" t="s">
        <v>32</v>
      </c>
      <c r="F108" s="3" t="s">
        <v>62</v>
      </c>
      <c r="G108" s="0" t="n">
        <v>11</v>
      </c>
      <c r="H108" s="4" t="n">
        <v>100.13</v>
      </c>
      <c r="I108" s="0" t="n">
        <v>10</v>
      </c>
      <c r="J108" s="3" t="s">
        <v>19</v>
      </c>
    </row>
    <row r="109" customFormat="false" ht="15" hidden="false" customHeight="false" outlineLevel="0" collapsed="false">
      <c r="A109" s="0" t="s">
        <v>153</v>
      </c>
      <c r="B109" s="2" t="n">
        <v>45391</v>
      </c>
      <c r="C109" s="3" t="s">
        <v>17</v>
      </c>
      <c r="D109" s="3" t="s">
        <v>12</v>
      </c>
      <c r="E109" s="3" t="s">
        <v>44</v>
      </c>
      <c r="F109" s="3" t="s">
        <v>58</v>
      </c>
      <c r="G109" s="0" t="n">
        <v>15</v>
      </c>
      <c r="H109" s="4" t="n">
        <v>651.08</v>
      </c>
      <c r="I109" s="0" t="n">
        <v>0</v>
      </c>
      <c r="J109" s="3" t="s">
        <v>19</v>
      </c>
    </row>
    <row r="110" customFormat="false" ht="15" hidden="false" customHeight="false" outlineLevel="0" collapsed="false">
      <c r="A110" s="0" t="s">
        <v>154</v>
      </c>
      <c r="B110" s="2" t="n">
        <v>45645</v>
      </c>
      <c r="C110" s="3" t="s">
        <v>26</v>
      </c>
      <c r="D110" s="3" t="s">
        <v>29</v>
      </c>
      <c r="E110" s="3" t="s">
        <v>13</v>
      </c>
      <c r="F110" s="3" t="s">
        <v>92</v>
      </c>
      <c r="G110" s="0" t="n">
        <v>30</v>
      </c>
      <c r="H110" s="4" t="n">
        <v>103.57</v>
      </c>
      <c r="I110" s="0" t="n">
        <v>10</v>
      </c>
      <c r="J110" s="3" t="s">
        <v>40</v>
      </c>
    </row>
    <row r="111" customFormat="false" ht="15" hidden="false" customHeight="false" outlineLevel="0" collapsed="false">
      <c r="A111" s="0" t="s">
        <v>155</v>
      </c>
      <c r="B111" s="2" t="n">
        <v>45465</v>
      </c>
      <c r="C111" s="3" t="s">
        <v>11</v>
      </c>
      <c r="D111" s="3" t="s">
        <v>27</v>
      </c>
      <c r="E111" s="3" t="s">
        <v>44</v>
      </c>
      <c r="F111" s="3" t="s">
        <v>76</v>
      </c>
      <c r="G111" s="0" t="n">
        <v>50</v>
      </c>
      <c r="H111" s="4" t="n">
        <v>781.47</v>
      </c>
      <c r="I111" s="0" t="n">
        <v>0</v>
      </c>
      <c r="J111" s="3" t="s">
        <v>15</v>
      </c>
    </row>
    <row r="112" customFormat="false" ht="15" hidden="false" customHeight="false" outlineLevel="0" collapsed="false">
      <c r="A112" s="0" t="s">
        <v>156</v>
      </c>
      <c r="B112" s="2" t="n">
        <v>45548</v>
      </c>
      <c r="C112" s="3" t="s">
        <v>31</v>
      </c>
      <c r="D112" s="3" t="s">
        <v>22</v>
      </c>
      <c r="E112" s="3" t="s">
        <v>23</v>
      </c>
      <c r="F112" s="3" t="s">
        <v>37</v>
      </c>
      <c r="G112" s="0" t="n">
        <v>17</v>
      </c>
      <c r="H112" s="4" t="n">
        <v>553.95</v>
      </c>
      <c r="I112" s="0" t="n">
        <v>15</v>
      </c>
      <c r="J112" s="3" t="s">
        <v>40</v>
      </c>
    </row>
    <row r="113" customFormat="false" ht="15" hidden="false" customHeight="false" outlineLevel="0" collapsed="false">
      <c r="A113" s="0" t="s">
        <v>157</v>
      </c>
      <c r="B113" s="2" t="n">
        <v>45412</v>
      </c>
      <c r="C113" s="3" t="s">
        <v>21</v>
      </c>
      <c r="D113" s="3" t="s">
        <v>29</v>
      </c>
      <c r="E113" s="3" t="s">
        <v>44</v>
      </c>
      <c r="F113" s="3" t="s">
        <v>58</v>
      </c>
      <c r="G113" s="0" t="n">
        <v>16</v>
      </c>
      <c r="H113" s="4" t="n">
        <v>692.83</v>
      </c>
      <c r="I113" s="0" t="n">
        <v>15</v>
      </c>
      <c r="J113" s="3" t="s">
        <v>40</v>
      </c>
    </row>
    <row r="114" customFormat="false" ht="15" hidden="false" customHeight="false" outlineLevel="0" collapsed="false">
      <c r="A114" s="0" t="s">
        <v>158</v>
      </c>
      <c r="B114" s="2" t="n">
        <v>45364</v>
      </c>
      <c r="C114" s="3" t="s">
        <v>26</v>
      </c>
      <c r="D114" s="3" t="s">
        <v>12</v>
      </c>
      <c r="E114" s="3" t="s">
        <v>32</v>
      </c>
      <c r="F114" s="3" t="s">
        <v>95</v>
      </c>
      <c r="G114" s="0" t="n">
        <v>35</v>
      </c>
      <c r="H114" s="4" t="n">
        <v>115.08</v>
      </c>
      <c r="I114" s="0" t="n">
        <v>10</v>
      </c>
      <c r="J114" s="3" t="s">
        <v>19</v>
      </c>
    </row>
    <row r="115" customFormat="false" ht="15" hidden="false" customHeight="false" outlineLevel="0" collapsed="false">
      <c r="A115" s="0" t="s">
        <v>159</v>
      </c>
      <c r="B115" s="2" t="n">
        <v>45430</v>
      </c>
      <c r="C115" s="3" t="s">
        <v>43</v>
      </c>
      <c r="D115" s="3" t="s">
        <v>27</v>
      </c>
      <c r="E115" s="3" t="s">
        <v>44</v>
      </c>
      <c r="F115" s="3" t="s">
        <v>47</v>
      </c>
      <c r="G115" s="0" t="n">
        <v>22</v>
      </c>
      <c r="H115" s="4" t="n">
        <v>349.77</v>
      </c>
      <c r="I115" s="0" t="n">
        <v>5</v>
      </c>
      <c r="J115" s="3" t="s">
        <v>19</v>
      </c>
    </row>
    <row r="116" customFormat="false" ht="15" hidden="false" customHeight="false" outlineLevel="0" collapsed="false">
      <c r="A116" s="0" t="s">
        <v>160</v>
      </c>
      <c r="B116" s="2" t="n">
        <v>45439</v>
      </c>
      <c r="C116" s="3" t="s">
        <v>26</v>
      </c>
      <c r="D116" s="3" t="s">
        <v>12</v>
      </c>
      <c r="E116" s="3" t="s">
        <v>44</v>
      </c>
      <c r="F116" s="3" t="s">
        <v>58</v>
      </c>
      <c r="G116" s="0" t="n">
        <v>30</v>
      </c>
      <c r="H116" s="4" t="n">
        <v>726.04</v>
      </c>
      <c r="I116" s="0" t="n">
        <v>10</v>
      </c>
      <c r="J116" s="3" t="s">
        <v>15</v>
      </c>
    </row>
    <row r="117" customFormat="false" ht="15" hidden="false" customHeight="false" outlineLevel="0" collapsed="false">
      <c r="A117" s="0" t="s">
        <v>161</v>
      </c>
      <c r="B117" s="2" t="n">
        <v>45463</v>
      </c>
      <c r="C117" s="3" t="s">
        <v>21</v>
      </c>
      <c r="D117" s="3" t="s">
        <v>12</v>
      </c>
      <c r="E117" s="3" t="s">
        <v>44</v>
      </c>
      <c r="F117" s="3" t="s">
        <v>76</v>
      </c>
      <c r="G117" s="0" t="n">
        <v>9</v>
      </c>
      <c r="H117" s="4" t="n">
        <v>75.48</v>
      </c>
      <c r="I117" s="0" t="n">
        <v>10</v>
      </c>
      <c r="J117" s="3" t="s">
        <v>40</v>
      </c>
    </row>
    <row r="118" customFormat="false" ht="15" hidden="false" customHeight="false" outlineLevel="0" collapsed="false">
      <c r="A118" s="0" t="s">
        <v>162</v>
      </c>
      <c r="B118" s="2" t="n">
        <v>45561</v>
      </c>
      <c r="C118" s="3" t="s">
        <v>43</v>
      </c>
      <c r="D118" s="3" t="s">
        <v>12</v>
      </c>
      <c r="E118" s="3" t="s">
        <v>13</v>
      </c>
      <c r="F118" s="3" t="s">
        <v>64</v>
      </c>
      <c r="G118" s="0" t="n">
        <v>14</v>
      </c>
      <c r="H118" s="4" t="n">
        <v>138.06</v>
      </c>
      <c r="I118" s="0" t="n">
        <v>5</v>
      </c>
      <c r="J118" s="3" t="s">
        <v>19</v>
      </c>
    </row>
    <row r="119" customFormat="false" ht="15" hidden="false" customHeight="false" outlineLevel="0" collapsed="false">
      <c r="A119" s="0" t="s">
        <v>163</v>
      </c>
      <c r="B119" s="2" t="n">
        <v>45310</v>
      </c>
      <c r="C119" s="3" t="s">
        <v>43</v>
      </c>
      <c r="D119" s="3" t="s">
        <v>22</v>
      </c>
      <c r="E119" s="3" t="s">
        <v>32</v>
      </c>
      <c r="F119" s="3" t="s">
        <v>33</v>
      </c>
      <c r="G119" s="0" t="n">
        <v>35</v>
      </c>
      <c r="H119" s="4" t="n">
        <v>39.72</v>
      </c>
      <c r="I119" s="0" t="n">
        <v>10</v>
      </c>
      <c r="J119" s="3" t="s">
        <v>15</v>
      </c>
    </row>
    <row r="120" customFormat="false" ht="15" hidden="false" customHeight="false" outlineLevel="0" collapsed="false">
      <c r="A120" s="0" t="s">
        <v>164</v>
      </c>
      <c r="B120" s="2" t="n">
        <v>45324</v>
      </c>
      <c r="C120" s="3" t="s">
        <v>21</v>
      </c>
      <c r="D120" s="3" t="s">
        <v>27</v>
      </c>
      <c r="E120" s="3" t="s">
        <v>23</v>
      </c>
      <c r="F120" s="3" t="s">
        <v>82</v>
      </c>
      <c r="G120" s="0" t="n">
        <v>25</v>
      </c>
      <c r="H120" s="4" t="n">
        <v>388.83</v>
      </c>
      <c r="I120" s="0" t="n">
        <v>15</v>
      </c>
      <c r="J120" s="3" t="s">
        <v>40</v>
      </c>
    </row>
    <row r="121" customFormat="false" ht="15" hidden="false" customHeight="false" outlineLevel="0" collapsed="false">
      <c r="A121" s="0" t="s">
        <v>165</v>
      </c>
      <c r="B121" s="2" t="n">
        <v>45446</v>
      </c>
      <c r="C121" s="3" t="s">
        <v>21</v>
      </c>
      <c r="D121" s="3" t="s">
        <v>27</v>
      </c>
      <c r="E121" s="3" t="s">
        <v>44</v>
      </c>
      <c r="F121" s="3" t="s">
        <v>45</v>
      </c>
      <c r="G121" s="0" t="n">
        <v>28</v>
      </c>
      <c r="H121" s="4" t="n">
        <v>299.37</v>
      </c>
      <c r="I121" s="0" t="n">
        <v>0</v>
      </c>
      <c r="J121" s="3" t="s">
        <v>40</v>
      </c>
    </row>
    <row r="122" customFormat="false" ht="15" hidden="false" customHeight="false" outlineLevel="0" collapsed="false">
      <c r="A122" s="0" t="s">
        <v>166</v>
      </c>
      <c r="B122" s="2" t="n">
        <v>45647</v>
      </c>
      <c r="C122" s="3" t="s">
        <v>26</v>
      </c>
      <c r="D122" s="3" t="s">
        <v>12</v>
      </c>
      <c r="E122" s="3" t="s">
        <v>44</v>
      </c>
      <c r="F122" s="3" t="s">
        <v>47</v>
      </c>
      <c r="G122" s="0" t="n">
        <v>9</v>
      </c>
      <c r="H122" s="4" t="n">
        <v>716.5</v>
      </c>
      <c r="I122" s="0" t="n">
        <v>20</v>
      </c>
      <c r="J122" s="3" t="s">
        <v>40</v>
      </c>
    </row>
    <row r="123" customFormat="false" ht="15" hidden="false" customHeight="false" outlineLevel="0" collapsed="false">
      <c r="A123" s="0" t="s">
        <v>167</v>
      </c>
      <c r="B123" s="2" t="n">
        <v>45598</v>
      </c>
      <c r="C123" s="3" t="s">
        <v>26</v>
      </c>
      <c r="D123" s="3" t="s">
        <v>27</v>
      </c>
      <c r="E123" s="3" t="s">
        <v>44</v>
      </c>
      <c r="F123" s="3" t="s">
        <v>76</v>
      </c>
      <c r="G123" s="0" t="n">
        <v>7</v>
      </c>
      <c r="H123" s="4" t="n">
        <v>111.27</v>
      </c>
      <c r="I123" s="0" t="n">
        <v>5</v>
      </c>
      <c r="J123" s="3" t="s">
        <v>19</v>
      </c>
    </row>
    <row r="124" customFormat="false" ht="15" hidden="false" customHeight="false" outlineLevel="0" collapsed="false">
      <c r="A124" s="0" t="s">
        <v>168</v>
      </c>
      <c r="B124" s="2" t="n">
        <v>45623</v>
      </c>
      <c r="C124" s="3" t="s">
        <v>17</v>
      </c>
      <c r="D124" s="3" t="s">
        <v>22</v>
      </c>
      <c r="E124" s="3" t="s">
        <v>44</v>
      </c>
      <c r="F124" s="3" t="s">
        <v>45</v>
      </c>
      <c r="G124" s="0" t="n">
        <v>23</v>
      </c>
      <c r="H124" s="4" t="n">
        <v>133.05</v>
      </c>
      <c r="I124" s="0" t="n">
        <v>0</v>
      </c>
      <c r="J124" s="3" t="s">
        <v>19</v>
      </c>
    </row>
    <row r="125" customFormat="false" ht="15" hidden="false" customHeight="false" outlineLevel="0" collapsed="false">
      <c r="A125" s="0" t="s">
        <v>169</v>
      </c>
      <c r="B125" s="2" t="n">
        <v>45359</v>
      </c>
      <c r="C125" s="3" t="s">
        <v>11</v>
      </c>
      <c r="D125" s="3" t="s">
        <v>22</v>
      </c>
      <c r="E125" s="3" t="s">
        <v>44</v>
      </c>
      <c r="F125" s="3" t="s">
        <v>45</v>
      </c>
      <c r="G125" s="0" t="n">
        <v>46</v>
      </c>
      <c r="H125" s="4" t="n">
        <v>573.12</v>
      </c>
      <c r="I125" s="0" t="n">
        <v>5</v>
      </c>
      <c r="J125" s="3" t="s">
        <v>40</v>
      </c>
    </row>
    <row r="126" customFormat="false" ht="15" hidden="false" customHeight="false" outlineLevel="0" collapsed="false">
      <c r="A126" s="0" t="s">
        <v>170</v>
      </c>
      <c r="B126" s="2" t="n">
        <v>45508</v>
      </c>
      <c r="C126" s="3" t="s">
        <v>26</v>
      </c>
      <c r="D126" s="3" t="s">
        <v>29</v>
      </c>
      <c r="E126" s="3" t="s">
        <v>32</v>
      </c>
      <c r="F126" s="3" t="s">
        <v>33</v>
      </c>
      <c r="G126" s="0" t="n">
        <v>31</v>
      </c>
      <c r="H126" s="4" t="n">
        <v>69.27</v>
      </c>
      <c r="I126" s="0" t="n">
        <v>15</v>
      </c>
      <c r="J126" s="3" t="s">
        <v>19</v>
      </c>
    </row>
    <row r="127" customFormat="false" ht="15" hidden="false" customHeight="false" outlineLevel="0" collapsed="false">
      <c r="A127" s="0" t="s">
        <v>171</v>
      </c>
      <c r="B127" s="2" t="n">
        <v>45616</v>
      </c>
      <c r="C127" s="3" t="s">
        <v>21</v>
      </c>
      <c r="D127" s="3" t="s">
        <v>22</v>
      </c>
      <c r="E127" s="3" t="s">
        <v>44</v>
      </c>
      <c r="F127" s="3" t="s">
        <v>45</v>
      </c>
      <c r="G127" s="0" t="n">
        <v>22</v>
      </c>
      <c r="H127" s="4" t="n">
        <v>97</v>
      </c>
      <c r="I127" s="0" t="n">
        <v>0</v>
      </c>
      <c r="J127" s="3" t="s">
        <v>15</v>
      </c>
    </row>
    <row r="128" customFormat="false" ht="15" hidden="false" customHeight="false" outlineLevel="0" collapsed="false">
      <c r="A128" s="0" t="s">
        <v>172</v>
      </c>
      <c r="B128" s="2" t="n">
        <v>45344</v>
      </c>
      <c r="C128" s="3" t="s">
        <v>17</v>
      </c>
      <c r="D128" s="3" t="s">
        <v>29</v>
      </c>
      <c r="E128" s="3" t="s">
        <v>44</v>
      </c>
      <c r="F128" s="3" t="s">
        <v>50</v>
      </c>
      <c r="G128" s="0" t="n">
        <v>7</v>
      </c>
      <c r="H128" s="4" t="n">
        <v>564.84</v>
      </c>
      <c r="I128" s="0" t="n">
        <v>5</v>
      </c>
      <c r="J128" s="3" t="s">
        <v>15</v>
      </c>
    </row>
    <row r="129" customFormat="false" ht="15" hidden="false" customHeight="false" outlineLevel="0" collapsed="false">
      <c r="A129" s="0" t="s">
        <v>173</v>
      </c>
      <c r="B129" s="2" t="n">
        <v>45593</v>
      </c>
      <c r="C129" s="3" t="s">
        <v>43</v>
      </c>
      <c r="D129" s="3" t="s">
        <v>12</v>
      </c>
      <c r="E129" s="3" t="s">
        <v>13</v>
      </c>
      <c r="F129" s="3" t="s">
        <v>92</v>
      </c>
      <c r="G129" s="0" t="n">
        <v>50</v>
      </c>
      <c r="H129" s="4" t="n">
        <v>16.29</v>
      </c>
      <c r="I129" s="0" t="n">
        <v>0</v>
      </c>
      <c r="J129" s="3" t="s">
        <v>15</v>
      </c>
    </row>
    <row r="130" customFormat="false" ht="15" hidden="false" customHeight="false" outlineLevel="0" collapsed="false">
      <c r="A130" s="0" t="s">
        <v>174</v>
      </c>
      <c r="B130" s="2" t="n">
        <v>45403</v>
      </c>
      <c r="C130" s="3" t="s">
        <v>11</v>
      </c>
      <c r="D130" s="3" t="s">
        <v>29</v>
      </c>
      <c r="E130" s="3" t="s">
        <v>44</v>
      </c>
      <c r="F130" s="3" t="s">
        <v>45</v>
      </c>
      <c r="G130" s="0" t="n">
        <v>11</v>
      </c>
      <c r="H130" s="4" t="n">
        <v>145.63</v>
      </c>
      <c r="I130" s="0" t="n">
        <v>5</v>
      </c>
      <c r="J130" s="3" t="s">
        <v>19</v>
      </c>
    </row>
    <row r="131" customFormat="false" ht="15" hidden="false" customHeight="false" outlineLevel="0" collapsed="false">
      <c r="A131" s="0" t="s">
        <v>175</v>
      </c>
      <c r="B131" s="2" t="n">
        <v>45319</v>
      </c>
      <c r="C131" s="3" t="s">
        <v>26</v>
      </c>
      <c r="D131" s="3" t="s">
        <v>27</v>
      </c>
      <c r="E131" s="3" t="s">
        <v>44</v>
      </c>
      <c r="F131" s="3" t="s">
        <v>45</v>
      </c>
      <c r="G131" s="0" t="n">
        <v>6</v>
      </c>
      <c r="H131" s="4" t="n">
        <v>146.81</v>
      </c>
      <c r="I131" s="0" t="n">
        <v>15</v>
      </c>
      <c r="J131" s="3" t="s">
        <v>19</v>
      </c>
    </row>
    <row r="132" customFormat="false" ht="15" hidden="false" customHeight="false" outlineLevel="0" collapsed="false">
      <c r="A132" s="0" t="s">
        <v>176</v>
      </c>
      <c r="B132" s="2" t="n">
        <v>45634</v>
      </c>
      <c r="C132" s="3" t="s">
        <v>21</v>
      </c>
      <c r="D132" s="3" t="s">
        <v>12</v>
      </c>
      <c r="E132" s="3" t="s">
        <v>23</v>
      </c>
      <c r="F132" s="3" t="s">
        <v>82</v>
      </c>
      <c r="G132" s="0" t="n">
        <v>45</v>
      </c>
      <c r="H132" s="4" t="n">
        <v>194.6</v>
      </c>
      <c r="I132" s="0" t="n">
        <v>20</v>
      </c>
      <c r="J132" s="3" t="s">
        <v>40</v>
      </c>
    </row>
    <row r="133" customFormat="false" ht="15" hidden="false" customHeight="false" outlineLevel="0" collapsed="false">
      <c r="A133" s="0" t="s">
        <v>177</v>
      </c>
      <c r="B133" s="2" t="n">
        <v>45469</v>
      </c>
      <c r="C133" s="3" t="s">
        <v>26</v>
      </c>
      <c r="D133" s="3" t="s">
        <v>22</v>
      </c>
      <c r="E133" s="3" t="s">
        <v>44</v>
      </c>
      <c r="F133" s="3" t="s">
        <v>47</v>
      </c>
      <c r="G133" s="0" t="n">
        <v>19</v>
      </c>
      <c r="H133" s="4" t="n">
        <v>708.53</v>
      </c>
      <c r="I133" s="0" t="n">
        <v>0</v>
      </c>
      <c r="J133" s="3" t="s">
        <v>19</v>
      </c>
    </row>
    <row r="134" customFormat="false" ht="15" hidden="false" customHeight="false" outlineLevel="0" collapsed="false">
      <c r="A134" s="0" t="s">
        <v>178</v>
      </c>
      <c r="B134" s="2" t="n">
        <v>45371</v>
      </c>
      <c r="C134" s="3" t="s">
        <v>26</v>
      </c>
      <c r="D134" s="3" t="s">
        <v>29</v>
      </c>
      <c r="E134" s="3" t="s">
        <v>13</v>
      </c>
      <c r="F134" s="3" t="s">
        <v>64</v>
      </c>
      <c r="G134" s="0" t="n">
        <v>37</v>
      </c>
      <c r="H134" s="4" t="n">
        <v>37.82</v>
      </c>
      <c r="I134" s="0" t="n">
        <v>0</v>
      </c>
      <c r="J134" s="3" t="s">
        <v>15</v>
      </c>
    </row>
    <row r="135" customFormat="false" ht="15" hidden="false" customHeight="false" outlineLevel="0" collapsed="false">
      <c r="A135" s="0" t="s">
        <v>179</v>
      </c>
      <c r="B135" s="2" t="n">
        <v>45640</v>
      </c>
      <c r="C135" s="3" t="s">
        <v>21</v>
      </c>
      <c r="D135" s="3" t="s">
        <v>22</v>
      </c>
      <c r="E135" s="3" t="s">
        <v>32</v>
      </c>
      <c r="F135" s="3" t="s">
        <v>62</v>
      </c>
      <c r="G135" s="0" t="n">
        <v>16</v>
      </c>
      <c r="H135" s="4" t="n">
        <v>36.77</v>
      </c>
      <c r="I135" s="0" t="n">
        <v>10</v>
      </c>
      <c r="J135" s="3" t="s">
        <v>19</v>
      </c>
    </row>
    <row r="136" customFormat="false" ht="15" hidden="false" customHeight="false" outlineLevel="0" collapsed="false">
      <c r="A136" s="0" t="s">
        <v>180</v>
      </c>
      <c r="B136" s="2" t="n">
        <v>45487</v>
      </c>
      <c r="C136" s="3" t="s">
        <v>21</v>
      </c>
      <c r="D136" s="3" t="s">
        <v>12</v>
      </c>
      <c r="E136" s="3" t="s">
        <v>13</v>
      </c>
      <c r="F136" s="3" t="s">
        <v>14</v>
      </c>
      <c r="G136" s="0" t="n">
        <v>42</v>
      </c>
      <c r="H136" s="4" t="n">
        <v>71.12</v>
      </c>
      <c r="I136" s="0" t="n">
        <v>0</v>
      </c>
      <c r="J136" s="3" t="s">
        <v>40</v>
      </c>
    </row>
    <row r="137" customFormat="false" ht="15" hidden="false" customHeight="false" outlineLevel="0" collapsed="false">
      <c r="A137" s="0" t="s">
        <v>181</v>
      </c>
      <c r="B137" s="2" t="n">
        <v>45369</v>
      </c>
      <c r="C137" s="3" t="s">
        <v>26</v>
      </c>
      <c r="D137" s="3" t="s">
        <v>27</v>
      </c>
      <c r="E137" s="3" t="s">
        <v>32</v>
      </c>
      <c r="F137" s="3" t="s">
        <v>33</v>
      </c>
      <c r="G137" s="0" t="n">
        <v>1</v>
      </c>
      <c r="H137" s="4" t="n">
        <v>66.29</v>
      </c>
      <c r="I137" s="0" t="n">
        <v>10</v>
      </c>
      <c r="J137" s="3" t="s">
        <v>19</v>
      </c>
    </row>
    <row r="138" customFormat="false" ht="15" hidden="false" customHeight="false" outlineLevel="0" collapsed="false">
      <c r="A138" s="0" t="s">
        <v>182</v>
      </c>
      <c r="B138" s="2" t="n">
        <v>45336</v>
      </c>
      <c r="C138" s="3" t="s">
        <v>21</v>
      </c>
      <c r="D138" s="3" t="s">
        <v>29</v>
      </c>
      <c r="E138" s="3" t="s">
        <v>32</v>
      </c>
      <c r="F138" s="3" t="s">
        <v>39</v>
      </c>
      <c r="G138" s="0" t="n">
        <v>45</v>
      </c>
      <c r="H138" s="4" t="n">
        <v>114.42</v>
      </c>
      <c r="I138" s="0" t="n">
        <v>10</v>
      </c>
      <c r="J138" s="3" t="s">
        <v>19</v>
      </c>
    </row>
    <row r="139" customFormat="false" ht="15" hidden="false" customHeight="false" outlineLevel="0" collapsed="false">
      <c r="A139" s="0" t="s">
        <v>183</v>
      </c>
      <c r="B139" s="2" t="n">
        <v>45572</v>
      </c>
      <c r="C139" s="3" t="s">
        <v>11</v>
      </c>
      <c r="D139" s="3" t="s">
        <v>27</v>
      </c>
      <c r="E139" s="3" t="s">
        <v>44</v>
      </c>
      <c r="F139" s="3" t="s">
        <v>76</v>
      </c>
      <c r="G139" s="0" t="n">
        <v>49</v>
      </c>
      <c r="H139" s="4" t="n">
        <v>86.36</v>
      </c>
      <c r="I139" s="0" t="n">
        <v>0</v>
      </c>
      <c r="J139" s="3" t="s">
        <v>40</v>
      </c>
    </row>
    <row r="140" customFormat="false" ht="15" hidden="false" customHeight="false" outlineLevel="0" collapsed="false">
      <c r="A140" s="0" t="s">
        <v>184</v>
      </c>
      <c r="B140" s="2" t="n">
        <v>45558</v>
      </c>
      <c r="C140" s="3" t="s">
        <v>21</v>
      </c>
      <c r="D140" s="3" t="s">
        <v>22</v>
      </c>
      <c r="E140" s="3" t="s">
        <v>13</v>
      </c>
      <c r="F140" s="3" t="s">
        <v>73</v>
      </c>
      <c r="G140" s="0" t="n">
        <v>26</v>
      </c>
      <c r="H140" s="4" t="n">
        <v>34.88</v>
      </c>
      <c r="I140" s="0" t="n">
        <v>15</v>
      </c>
      <c r="J140" s="3" t="s">
        <v>15</v>
      </c>
    </row>
    <row r="141" customFormat="false" ht="15" hidden="false" customHeight="false" outlineLevel="0" collapsed="false">
      <c r="A141" s="0" t="s">
        <v>185</v>
      </c>
      <c r="B141" s="2" t="n">
        <v>45440</v>
      </c>
      <c r="C141" s="3" t="s">
        <v>31</v>
      </c>
      <c r="D141" s="3" t="s">
        <v>29</v>
      </c>
      <c r="E141" s="3" t="s">
        <v>44</v>
      </c>
      <c r="F141" s="3" t="s">
        <v>76</v>
      </c>
      <c r="G141" s="0" t="n">
        <v>28</v>
      </c>
      <c r="H141" s="4" t="n">
        <v>607.53</v>
      </c>
      <c r="I141" s="0" t="n">
        <v>5</v>
      </c>
      <c r="J141" s="3" t="s">
        <v>15</v>
      </c>
    </row>
    <row r="142" customFormat="false" ht="15" hidden="false" customHeight="false" outlineLevel="0" collapsed="false">
      <c r="A142" s="0" t="s">
        <v>186</v>
      </c>
      <c r="B142" s="2" t="n">
        <v>45506</v>
      </c>
      <c r="C142" s="3" t="s">
        <v>11</v>
      </c>
      <c r="D142" s="3" t="s">
        <v>22</v>
      </c>
      <c r="E142" s="3" t="s">
        <v>32</v>
      </c>
      <c r="F142" s="3" t="s">
        <v>62</v>
      </c>
      <c r="G142" s="0" t="n">
        <v>9</v>
      </c>
      <c r="H142" s="4" t="n">
        <v>60.46</v>
      </c>
      <c r="I142" s="0" t="n">
        <v>5</v>
      </c>
      <c r="J142" s="3" t="s">
        <v>15</v>
      </c>
    </row>
    <row r="143" customFormat="false" ht="15" hidden="false" customHeight="false" outlineLevel="0" collapsed="false">
      <c r="A143" s="0" t="s">
        <v>187</v>
      </c>
      <c r="B143" s="2" t="n">
        <v>45472</v>
      </c>
      <c r="C143" s="3" t="s">
        <v>11</v>
      </c>
      <c r="D143" s="3" t="s">
        <v>22</v>
      </c>
      <c r="E143" s="3" t="s">
        <v>13</v>
      </c>
      <c r="F143" s="3" t="s">
        <v>64</v>
      </c>
      <c r="G143" s="0" t="n">
        <v>16</v>
      </c>
      <c r="H143" s="4" t="n">
        <v>110.35</v>
      </c>
      <c r="I143" s="0" t="n">
        <v>15</v>
      </c>
      <c r="J143" s="3" t="s">
        <v>40</v>
      </c>
    </row>
    <row r="144" customFormat="false" ht="15" hidden="false" customHeight="false" outlineLevel="0" collapsed="false">
      <c r="A144" s="0" t="s">
        <v>188</v>
      </c>
      <c r="B144" s="2" t="n">
        <v>45459</v>
      </c>
      <c r="C144" s="3" t="s">
        <v>17</v>
      </c>
      <c r="D144" s="3" t="s">
        <v>29</v>
      </c>
      <c r="E144" s="3" t="s">
        <v>44</v>
      </c>
      <c r="F144" s="3" t="s">
        <v>58</v>
      </c>
      <c r="G144" s="0" t="n">
        <v>40</v>
      </c>
      <c r="H144" s="4" t="n">
        <v>294.54</v>
      </c>
      <c r="I144" s="0" t="n">
        <v>10</v>
      </c>
      <c r="J144" s="3" t="s">
        <v>15</v>
      </c>
    </row>
    <row r="145" customFormat="false" ht="15" hidden="false" customHeight="false" outlineLevel="0" collapsed="false">
      <c r="A145" s="0" t="s">
        <v>189</v>
      </c>
      <c r="B145" s="2" t="n">
        <v>45517</v>
      </c>
      <c r="C145" s="3" t="s">
        <v>26</v>
      </c>
      <c r="D145" s="3" t="s">
        <v>12</v>
      </c>
      <c r="E145" s="3" t="s">
        <v>13</v>
      </c>
      <c r="F145" s="3" t="s">
        <v>64</v>
      </c>
      <c r="G145" s="0" t="n">
        <v>2</v>
      </c>
      <c r="H145" s="4" t="n">
        <v>59.66</v>
      </c>
      <c r="I145" s="0" t="n">
        <v>20</v>
      </c>
      <c r="J145" s="3" t="s">
        <v>15</v>
      </c>
    </row>
    <row r="146" customFormat="false" ht="15" hidden="false" customHeight="false" outlineLevel="0" collapsed="false">
      <c r="A146" s="0" t="s">
        <v>190</v>
      </c>
      <c r="B146" s="2" t="n">
        <v>45306</v>
      </c>
      <c r="C146" s="3" t="s">
        <v>31</v>
      </c>
      <c r="D146" s="3" t="s">
        <v>27</v>
      </c>
      <c r="E146" s="3" t="s">
        <v>13</v>
      </c>
      <c r="F146" s="3" t="s">
        <v>14</v>
      </c>
      <c r="G146" s="0" t="n">
        <v>30</v>
      </c>
      <c r="H146" s="4" t="n">
        <v>111.7</v>
      </c>
      <c r="I146" s="0" t="n">
        <v>5</v>
      </c>
      <c r="J146" s="3" t="s">
        <v>40</v>
      </c>
    </row>
    <row r="147" customFormat="false" ht="15" hidden="false" customHeight="false" outlineLevel="0" collapsed="false">
      <c r="A147" s="0" t="s">
        <v>191</v>
      </c>
      <c r="B147" s="2" t="n">
        <v>45513</v>
      </c>
      <c r="C147" s="3" t="s">
        <v>11</v>
      </c>
      <c r="D147" s="3" t="s">
        <v>29</v>
      </c>
      <c r="E147" s="3" t="s">
        <v>32</v>
      </c>
      <c r="F147" s="3" t="s">
        <v>39</v>
      </c>
      <c r="G147" s="0" t="n">
        <v>27</v>
      </c>
      <c r="H147" s="4" t="n">
        <v>45.26</v>
      </c>
      <c r="I147" s="0" t="n">
        <v>10</v>
      </c>
      <c r="J147" s="3" t="s">
        <v>15</v>
      </c>
    </row>
    <row r="148" customFormat="false" ht="15" hidden="false" customHeight="false" outlineLevel="0" collapsed="false">
      <c r="A148" s="0" t="s">
        <v>192</v>
      </c>
      <c r="B148" s="2" t="n">
        <v>45578</v>
      </c>
      <c r="C148" s="3" t="s">
        <v>17</v>
      </c>
      <c r="D148" s="3" t="s">
        <v>27</v>
      </c>
      <c r="E148" s="3" t="s">
        <v>32</v>
      </c>
      <c r="F148" s="3" t="s">
        <v>69</v>
      </c>
      <c r="G148" s="0" t="n">
        <v>10</v>
      </c>
      <c r="H148" s="4" t="n">
        <v>83.28</v>
      </c>
      <c r="I148" s="0" t="n">
        <v>0</v>
      </c>
      <c r="J148" s="3" t="s">
        <v>19</v>
      </c>
    </row>
    <row r="149" customFormat="false" ht="15" hidden="false" customHeight="false" outlineLevel="0" collapsed="false">
      <c r="A149" s="0" t="s">
        <v>193</v>
      </c>
      <c r="B149" s="2" t="n">
        <v>45454</v>
      </c>
      <c r="C149" s="3" t="s">
        <v>17</v>
      </c>
      <c r="D149" s="3" t="s">
        <v>12</v>
      </c>
      <c r="E149" s="3" t="s">
        <v>23</v>
      </c>
      <c r="F149" s="3" t="s">
        <v>79</v>
      </c>
      <c r="G149" s="0" t="n">
        <v>37</v>
      </c>
      <c r="H149" s="4" t="n">
        <v>34.94</v>
      </c>
      <c r="I149" s="0" t="n">
        <v>10</v>
      </c>
      <c r="J149" s="3" t="s">
        <v>15</v>
      </c>
    </row>
    <row r="150" customFormat="false" ht="15" hidden="false" customHeight="false" outlineLevel="0" collapsed="false">
      <c r="A150" s="0" t="s">
        <v>194</v>
      </c>
      <c r="B150" s="2" t="n">
        <v>45608</v>
      </c>
      <c r="C150" s="3" t="s">
        <v>11</v>
      </c>
      <c r="D150" s="3" t="s">
        <v>29</v>
      </c>
      <c r="E150" s="3" t="s">
        <v>23</v>
      </c>
      <c r="F150" s="3" t="s">
        <v>79</v>
      </c>
      <c r="G150" s="0" t="n">
        <v>24</v>
      </c>
      <c r="H150" s="4" t="n">
        <v>414.43</v>
      </c>
      <c r="I150" s="0" t="n">
        <v>20</v>
      </c>
      <c r="J150" s="3" t="s">
        <v>40</v>
      </c>
    </row>
    <row r="151" customFormat="false" ht="15" hidden="false" customHeight="false" outlineLevel="0" collapsed="false">
      <c r="A151" s="0" t="s">
        <v>195</v>
      </c>
      <c r="B151" s="2" t="n">
        <v>45577</v>
      </c>
      <c r="C151" s="3" t="s">
        <v>11</v>
      </c>
      <c r="D151" s="3" t="s">
        <v>22</v>
      </c>
      <c r="E151" s="3" t="s">
        <v>44</v>
      </c>
      <c r="F151" s="3" t="s">
        <v>45</v>
      </c>
      <c r="G151" s="0" t="n">
        <v>43</v>
      </c>
      <c r="H151" s="4" t="n">
        <v>139.54</v>
      </c>
      <c r="I151" s="0" t="n">
        <v>0</v>
      </c>
      <c r="J151" s="3" t="s">
        <v>19</v>
      </c>
    </row>
    <row r="152" customFormat="false" ht="15" hidden="false" customHeight="false" outlineLevel="0" collapsed="false">
      <c r="A152" s="0" t="s">
        <v>196</v>
      </c>
      <c r="B152" s="2" t="n">
        <v>45493</v>
      </c>
      <c r="C152" s="3" t="s">
        <v>21</v>
      </c>
      <c r="D152" s="3" t="s">
        <v>29</v>
      </c>
      <c r="E152" s="3" t="s">
        <v>32</v>
      </c>
      <c r="F152" s="3" t="s">
        <v>39</v>
      </c>
      <c r="G152" s="0" t="n">
        <v>18</v>
      </c>
      <c r="H152" s="4" t="n">
        <v>61.7</v>
      </c>
      <c r="I152" s="0" t="n">
        <v>5</v>
      </c>
      <c r="J152" s="3" t="s">
        <v>15</v>
      </c>
    </row>
    <row r="154" customFormat="false" ht="15" hidden="false" customHeight="false" outlineLevel="0" collapsed="false">
      <c r="A154" s="24" t="s">
        <v>274</v>
      </c>
      <c r="B154" s="19" t="n">
        <f aca="false">SUMIFS(K3:K152,E3:E152,"Electronics",D3:D152,"North")</f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2026-02-15T05:06:05Z</dcterms:created>
  <dc:creator>openpyxl</dc:creator>
  <dc:description/>
  <dc:language>en-US</dc:language>
  <cp:lastModifiedBy>Olufemi Kuforiji</cp:lastModifiedBy>
  <dcterms:modified xsi:type="dcterms:W3CDTF">2026-03-01T07:06:42Z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